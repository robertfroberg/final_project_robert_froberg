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b4ffc266ad10f68d/Desktop/Forgotten Realms/"/>
    </mc:Choice>
  </mc:AlternateContent>
  <xr:revisionPtr revIDLastSave="11074" documentId="8_{236AC88F-DE38-4B85-ADDC-A788C177D3A0}" xr6:coauthVersionLast="47" xr6:coauthVersionMax="47" xr10:uidLastSave="{18B1C9F1-472E-485D-9AB8-06463035FEB5}"/>
  <bookViews>
    <workbookView xWindow="-28920" yWindow="-120" windowWidth="29040" windowHeight="15840" activeTab="3" xr2:uid="{00000000-000D-0000-FFFF-FFFF00000000}"/>
  </bookViews>
  <sheets>
    <sheet name="Classes" sheetId="1" r:id="rId1"/>
    <sheet name="Class_List" sheetId="9" r:id="rId2"/>
    <sheet name="Races" sheetId="2" r:id="rId3"/>
    <sheet name="Items_By_Rarity" sheetId="5" r:id="rId4"/>
    <sheet name="Consumable Items" sheetId="6" r:id="rId5"/>
    <sheet name="B2WC" sheetId="11" r:id="rId6"/>
    <sheet name="Dashboard" sheetId="10" r:id="rId7"/>
    <sheet name="Items by Tables" sheetId="3" r:id="rId8"/>
    <sheet name="Unlocks" sheetId="4" r:id="rId9"/>
    <sheet name="Item List" sheetId="7" r:id="rId10"/>
    <sheet name="Need List" sheetId="8" r:id="rId11"/>
  </sheets>
  <definedNames>
    <definedName name="_xlnm._FilterDatabase" localSheetId="5" hidden="1">B2WC!$A$2:$AC$2</definedName>
    <definedName name="_xlnm._FilterDatabase" localSheetId="0" hidden="1">Classes!$A$3:$X$3</definedName>
    <definedName name="_xlnm._FilterDatabase" localSheetId="9" hidden="1">'Item List'!$A$1:$I$1091</definedName>
    <definedName name="ALLITEMS">Items_By_Rarity!$B$4:$EI$239</definedName>
    <definedName name="COMMON">Items_By_Rarity!$B$200:$EI$219</definedName>
    <definedName name="LEGENDARY">Items_By_Rarity!$B$4:$EI$29</definedName>
    <definedName name="RARE">Items_By_Rarity!$B$70:$EI$149</definedName>
    <definedName name="TRADEABLE">Items_By_Rarity!$B$4:$EI$219</definedName>
    <definedName name="UNCOMMON">Items_By_Rarity!$B$150:$EI$199</definedName>
    <definedName name="UNIQUE">Items_By_Rarity!$B$220:$EI$229</definedName>
    <definedName name="UNTRADEABLE">Items_By_Rarity!$B$230:$EI$239</definedName>
    <definedName name="VERYRARE" localSheetId="3">Items_By_Rarity!$B$30:$EI$69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3" i="10" l="1"/>
  <c r="AA12" i="10"/>
  <c r="AA11" i="10"/>
  <c r="AA10" i="10"/>
  <c r="AA9" i="10"/>
  <c r="AA8" i="10"/>
  <c r="AA7" i="10"/>
  <c r="AA6" i="10"/>
  <c r="AA5" i="10"/>
  <c r="AA4" i="10"/>
  <c r="D4" i="10"/>
  <c r="D48" i="10"/>
  <c r="D47" i="10"/>
  <c r="D46" i="10"/>
  <c r="D45" i="10"/>
  <c r="D41" i="10"/>
  <c r="D40" i="10"/>
  <c r="D39" i="10"/>
  <c r="D38" i="10"/>
  <c r="D37" i="10"/>
  <c r="D36" i="10"/>
  <c r="D35" i="10"/>
  <c r="D34" i="10"/>
  <c r="D33" i="10"/>
  <c r="D32" i="10"/>
  <c r="D31" i="10"/>
  <c r="D30" i="10"/>
  <c r="D29" i="10"/>
  <c r="D28" i="10"/>
  <c r="D27" i="10"/>
  <c r="D26" i="10"/>
  <c r="D25" i="10"/>
  <c r="D24" i="10"/>
  <c r="D20" i="10"/>
  <c r="D19" i="10"/>
  <c r="D18" i="10"/>
  <c r="D17" i="10"/>
  <c r="D13" i="10"/>
  <c r="D12" i="10"/>
  <c r="D11" i="10"/>
  <c r="D10" i="10"/>
  <c r="D9" i="10"/>
  <c r="D8" i="10"/>
  <c r="D7" i="10"/>
  <c r="D6" i="10"/>
  <c r="D5" i="10"/>
  <c r="C4" i="10"/>
  <c r="M19" i="10" l="1"/>
  <c r="M26" i="10"/>
  <c r="AI22" i="1" l="1"/>
  <c r="AI21" i="1"/>
  <c r="AI20" i="1"/>
  <c r="AI19" i="1"/>
  <c r="AI18" i="1"/>
  <c r="AI17" i="1"/>
  <c r="AI16" i="1"/>
  <c r="AI15" i="1"/>
  <c r="AI14" i="1"/>
  <c r="AI13" i="1"/>
  <c r="AI12" i="1"/>
  <c r="AI11" i="1"/>
  <c r="AI10" i="1"/>
  <c r="AI23" i="1" l="1"/>
  <c r="Z2" i="5"/>
  <c r="AJ21" i="1" l="1"/>
  <c r="AJ20" i="1"/>
  <c r="AJ19" i="1"/>
  <c r="AJ18" i="1"/>
  <c r="AJ17" i="1"/>
  <c r="AJ16" i="1"/>
  <c r="AJ15" i="1"/>
  <c r="AJ14" i="1"/>
  <c r="AJ13" i="1"/>
  <c r="AJ12" i="1"/>
  <c r="AJ11" i="1"/>
  <c r="AJ10" i="1"/>
  <c r="AJ22" i="1"/>
  <c r="X36" i="10"/>
  <c r="W36" i="10"/>
  <c r="V36" i="10"/>
  <c r="S1" i="1" l="1"/>
  <c r="R1" i="1"/>
  <c r="Q1" i="1"/>
  <c r="P1" i="1"/>
  <c r="O1" i="1"/>
  <c r="N1" i="1"/>
  <c r="M1" i="1"/>
  <c r="L1" i="1"/>
  <c r="K1" i="1"/>
  <c r="J1" i="1"/>
  <c r="I1" i="1"/>
  <c r="H1" i="1"/>
  <c r="G1" i="1"/>
  <c r="G2" i="1"/>
  <c r="A151" i="5" l="1"/>
  <c r="A231" i="5" l="1"/>
  <c r="L7" i="10" l="1"/>
  <c r="L27" i="10"/>
  <c r="BL2" i="6"/>
  <c r="BK2" i="6"/>
  <c r="BJ2" i="6"/>
  <c r="BI2" i="6"/>
  <c r="BH2" i="6"/>
  <c r="BG2" i="6"/>
  <c r="BF2" i="6"/>
  <c r="BE2" i="6"/>
  <c r="BL2" i="5"/>
  <c r="L3" i="9"/>
  <c r="BK2" i="5" l="1"/>
  <c r="BJ2" i="5"/>
  <c r="BI2" i="5"/>
  <c r="BH2" i="5"/>
  <c r="X11" i="10"/>
  <c r="W11" i="10"/>
  <c r="V11" i="10"/>
  <c r="X10" i="10"/>
  <c r="W10" i="10"/>
  <c r="V10" i="10"/>
  <c r="X9" i="10"/>
  <c r="W9" i="10"/>
  <c r="V9" i="10"/>
  <c r="X8" i="10"/>
  <c r="W8" i="10"/>
  <c r="V8" i="10"/>
  <c r="X7" i="10"/>
  <c r="W7" i="10"/>
  <c r="V7" i="10"/>
  <c r="X6" i="10"/>
  <c r="W6" i="10"/>
  <c r="V6" i="10"/>
  <c r="X5" i="10"/>
  <c r="W5" i="10"/>
  <c r="V5" i="10"/>
  <c r="X4" i="10"/>
  <c r="W4" i="10"/>
  <c r="V4" i="10"/>
  <c r="X15" i="10"/>
  <c r="X16" i="10"/>
  <c r="X17" i="10"/>
  <c r="X18" i="10"/>
  <c r="X19" i="10"/>
  <c r="X20" i="10"/>
  <c r="X21" i="10"/>
  <c r="X25" i="10"/>
  <c r="X29" i="10"/>
  <c r="X33" i="10"/>
  <c r="X34" i="10"/>
  <c r="X35" i="10"/>
  <c r="W35" i="10"/>
  <c r="V35" i="10"/>
  <c r="N6" i="10"/>
  <c r="M6" i="10"/>
  <c r="N5" i="10"/>
  <c r="M5" i="10"/>
  <c r="N4" i="10"/>
  <c r="M4" i="10"/>
  <c r="N16" i="10"/>
  <c r="M16" i="10"/>
  <c r="N15" i="10"/>
  <c r="M15" i="10"/>
  <c r="N14" i="10"/>
  <c r="M14" i="10"/>
  <c r="N13" i="10"/>
  <c r="M13" i="10"/>
  <c r="N12" i="10"/>
  <c r="M12" i="10"/>
  <c r="N11" i="10"/>
  <c r="M11" i="10"/>
  <c r="N24" i="10"/>
  <c r="M24" i="10"/>
  <c r="N23" i="10"/>
  <c r="M23" i="10"/>
  <c r="N22" i="10"/>
  <c r="M22" i="10"/>
  <c r="N25" i="10"/>
  <c r="M25" i="10"/>
  <c r="N30" i="10"/>
  <c r="M30" i="10"/>
  <c r="L17" i="10"/>
  <c r="L30" i="10"/>
  <c r="L25" i="10"/>
  <c r="L24" i="10"/>
  <c r="L23" i="10"/>
  <c r="L22" i="10"/>
  <c r="L18" i="10"/>
  <c r="L6" i="10"/>
  <c r="L16" i="10"/>
  <c r="L15" i="10"/>
  <c r="L14" i="10"/>
  <c r="L13" i="10"/>
  <c r="L12" i="10"/>
  <c r="L11" i="10"/>
  <c r="L5" i="10"/>
  <c r="L4" i="10"/>
  <c r="C48" i="10"/>
  <c r="C47" i="10"/>
  <c r="C46" i="10"/>
  <c r="C45" i="10"/>
  <c r="C41" i="10"/>
  <c r="C40" i="10"/>
  <c r="C39" i="10"/>
  <c r="C38" i="10"/>
  <c r="C37" i="10"/>
  <c r="C36" i="10"/>
  <c r="C35" i="10"/>
  <c r="C34" i="10"/>
  <c r="C33" i="10"/>
  <c r="C32" i="10"/>
  <c r="C31" i="10"/>
  <c r="C30" i="10"/>
  <c r="C29" i="10"/>
  <c r="C28" i="10"/>
  <c r="C27" i="10"/>
  <c r="C26" i="10"/>
  <c r="C25" i="10"/>
  <c r="C24" i="10"/>
  <c r="C20" i="10"/>
  <c r="C19" i="10"/>
  <c r="C18" i="10"/>
  <c r="C17" i="10"/>
  <c r="C5" i="10"/>
  <c r="C13" i="10"/>
  <c r="C12" i="10"/>
  <c r="C11" i="10"/>
  <c r="C10" i="10"/>
  <c r="C9" i="10"/>
  <c r="C8" i="10"/>
  <c r="C7" i="10"/>
  <c r="C6" i="10"/>
  <c r="B48" i="10"/>
  <c r="B47" i="10"/>
  <c r="B46" i="10"/>
  <c r="B45" i="10"/>
  <c r="B41" i="10"/>
  <c r="B40" i="10"/>
  <c r="B39" i="10"/>
  <c r="B38" i="10"/>
  <c r="B37" i="10"/>
  <c r="B36" i="10"/>
  <c r="B35" i="10"/>
  <c r="B34" i="10"/>
  <c r="B33" i="10"/>
  <c r="B32" i="10"/>
  <c r="B31" i="10"/>
  <c r="B30" i="10"/>
  <c r="B29" i="10"/>
  <c r="B28" i="10"/>
  <c r="B27" i="10"/>
  <c r="B26" i="10"/>
  <c r="B25" i="10"/>
  <c r="B24" i="10"/>
  <c r="B20" i="10"/>
  <c r="B19" i="10"/>
  <c r="B18" i="10"/>
  <c r="B17" i="10"/>
  <c r="B13" i="10"/>
  <c r="B12" i="10"/>
  <c r="B11" i="10"/>
  <c r="B10" i="10"/>
  <c r="B9" i="10"/>
  <c r="B8" i="10"/>
  <c r="B7" i="10"/>
  <c r="B6" i="10"/>
  <c r="B5" i="10"/>
  <c r="B4" i="10"/>
  <c r="A48" i="10"/>
  <c r="A47" i="10"/>
  <c r="A46" i="10"/>
  <c r="A45" i="10"/>
  <c r="A41" i="10"/>
  <c r="A40" i="10"/>
  <c r="A39" i="10"/>
  <c r="A38" i="10"/>
  <c r="A37" i="10"/>
  <c r="A36" i="10"/>
  <c r="A35" i="10"/>
  <c r="A34" i="10"/>
  <c r="A33" i="10"/>
  <c r="A32" i="10"/>
  <c r="A31" i="10"/>
  <c r="A30" i="10"/>
  <c r="A29" i="10"/>
  <c r="A28" i="10"/>
  <c r="A27" i="10"/>
  <c r="A26" i="10"/>
  <c r="A25" i="10"/>
  <c r="A24" i="10"/>
  <c r="A20" i="10"/>
  <c r="A19" i="10"/>
  <c r="A18" i="10"/>
  <c r="A17" i="10"/>
  <c r="A13" i="10"/>
  <c r="A12" i="10"/>
  <c r="A11" i="10"/>
  <c r="A10" i="10"/>
  <c r="A9" i="10"/>
  <c r="A8" i="10"/>
  <c r="A7" i="10"/>
  <c r="A6" i="10"/>
  <c r="A5" i="10"/>
  <c r="A4" i="10"/>
  <c r="A2" i="5"/>
  <c r="A221" i="5"/>
  <c r="A201" i="5"/>
  <c r="A71" i="5"/>
  <c r="A31" i="5"/>
  <c r="A5" i="5"/>
  <c r="A46" i="5"/>
  <c r="A44" i="5"/>
  <c r="A42" i="5"/>
  <c r="A40" i="5"/>
  <c r="A38" i="5"/>
  <c r="A36" i="5"/>
  <c r="A6" i="5" l="1"/>
  <c r="A3" i="5"/>
  <c r="B2" i="5" l="1"/>
  <c r="AV2" i="5" l="1"/>
  <c r="N41" i="8" l="1"/>
  <c r="C1" i="11"/>
  <c r="A72" i="5" l="1"/>
  <c r="I3" i="9"/>
  <c r="H3" i="9"/>
  <c r="M2" i="9"/>
  <c r="M3" i="9" s="1"/>
  <c r="L2" i="9"/>
  <c r="K2" i="9"/>
  <c r="K3" i="9" s="1"/>
  <c r="J2" i="9"/>
  <c r="J3" i="9" s="1"/>
  <c r="I2" i="9"/>
  <c r="H2" i="9"/>
  <c r="G2" i="9"/>
  <c r="G3" i="9" s="1"/>
  <c r="F2" i="9"/>
  <c r="F3" i="9" s="1"/>
  <c r="E2" i="9"/>
  <c r="E3" i="9" s="1"/>
  <c r="D2" i="9"/>
  <c r="D3" i="9" s="1"/>
  <c r="C2" i="9"/>
  <c r="C3" i="9" s="1"/>
  <c r="B2" i="9"/>
  <c r="B3" i="9" s="1"/>
  <c r="A2" i="9"/>
  <c r="A3" i="9" s="1"/>
  <c r="BD2" i="6"/>
  <c r="BG2" i="5"/>
  <c r="BF2" i="5"/>
  <c r="BC2" i="6"/>
  <c r="BE2" i="5"/>
  <c r="BQ2" i="6" l="1"/>
  <c r="BP2" i="6"/>
  <c r="BQ2" i="5" l="1"/>
  <c r="BB2" i="6" l="1"/>
  <c r="BD2" i="5"/>
  <c r="BA2" i="6" l="1"/>
  <c r="BC2" i="5"/>
  <c r="BB2" i="5" l="1"/>
  <c r="BA2" i="5"/>
  <c r="C2" i="1" l="1"/>
  <c r="BR2" i="5" l="1"/>
  <c r="BP2" i="5"/>
  <c r="M2" i="6"/>
  <c r="O2" i="6"/>
  <c r="AP2" i="5"/>
  <c r="AG2" i="5" l="1"/>
  <c r="AF2" i="5"/>
  <c r="AC2" i="5"/>
  <c r="AA2" i="5"/>
  <c r="V2" i="5"/>
  <c r="T2" i="5"/>
  <c r="S2" i="5"/>
  <c r="O2" i="5"/>
  <c r="N2" i="5"/>
  <c r="AZ2" i="6"/>
  <c r="AY2" i="6"/>
  <c r="AX2" i="6"/>
  <c r="AW2" i="6"/>
  <c r="AV2" i="6"/>
  <c r="U101" i="1"/>
  <c r="T101" i="1"/>
  <c r="U100" i="1"/>
  <c r="T100" i="1"/>
  <c r="U99" i="1"/>
  <c r="T99" i="1"/>
  <c r="U98" i="1"/>
  <c r="T98" i="1"/>
  <c r="U97" i="1"/>
  <c r="T97" i="1"/>
  <c r="U96" i="1"/>
  <c r="T96" i="1"/>
  <c r="U95" i="1"/>
  <c r="T95" i="1"/>
  <c r="U94" i="1"/>
  <c r="T94" i="1"/>
  <c r="U93" i="1"/>
  <c r="T93" i="1"/>
  <c r="U92" i="1"/>
  <c r="T92" i="1"/>
  <c r="U91" i="1"/>
  <c r="T91" i="1"/>
  <c r="U90" i="1"/>
  <c r="T90" i="1"/>
  <c r="U89" i="1"/>
  <c r="T89" i="1"/>
  <c r="U88" i="1"/>
  <c r="T88" i="1"/>
  <c r="U87" i="1"/>
  <c r="T87" i="1"/>
  <c r="U86" i="1"/>
  <c r="T86" i="1"/>
  <c r="U85" i="1"/>
  <c r="T85" i="1"/>
  <c r="U84" i="1"/>
  <c r="T84" i="1"/>
  <c r="U83" i="1"/>
  <c r="T83" i="1"/>
  <c r="U82" i="1"/>
  <c r="T82" i="1"/>
  <c r="U79" i="1"/>
  <c r="T79" i="1"/>
  <c r="U78" i="1"/>
  <c r="T78" i="1"/>
  <c r="U80" i="1"/>
  <c r="T80" i="1"/>
  <c r="U71" i="1"/>
  <c r="T71" i="1"/>
  <c r="U70" i="1"/>
  <c r="T70" i="1"/>
  <c r="U64" i="1"/>
  <c r="T64" i="1"/>
  <c r="U66" i="1"/>
  <c r="T66" i="1"/>
  <c r="U68" i="1"/>
  <c r="T68" i="1"/>
  <c r="U77" i="1"/>
  <c r="T77" i="1"/>
  <c r="U75" i="1"/>
  <c r="T75" i="1"/>
  <c r="U43" i="1"/>
  <c r="T43" i="1"/>
  <c r="U52" i="1"/>
  <c r="T52" i="1"/>
  <c r="U46" i="1"/>
  <c r="T46" i="1"/>
  <c r="A152" i="5" l="1"/>
  <c r="A32" i="5"/>
  <c r="A202" i="5"/>
  <c r="AZ2" i="5" l="1"/>
  <c r="AY2" i="5"/>
  <c r="AX2" i="5" l="1"/>
  <c r="AW2" i="5"/>
  <c r="BB1" i="2"/>
  <c r="BA1" i="2"/>
  <c r="AZ1" i="2"/>
  <c r="AY1" i="2"/>
  <c r="AX1" i="2"/>
  <c r="AW1" i="2"/>
  <c r="AV1" i="2"/>
  <c r="AU2" i="6" l="1"/>
  <c r="AT2" i="6"/>
  <c r="AU2" i="5"/>
  <c r="AS2" i="6"/>
  <c r="AT2" i="5"/>
  <c r="AS2" i="5"/>
  <c r="AR2" i="6"/>
  <c r="AQ2" i="6"/>
  <c r="AR2" i="5"/>
  <c r="AP2" i="6"/>
  <c r="AO2" i="6"/>
  <c r="AN2" i="6"/>
  <c r="AQ2" i="5"/>
  <c r="AO2" i="5"/>
  <c r="AN2" i="5"/>
  <c r="AU1" i="2"/>
  <c r="AT1" i="2"/>
  <c r="AS1" i="2"/>
  <c r="AR1" i="2"/>
  <c r="AQ1" i="2"/>
  <c r="AP1" i="2"/>
  <c r="AO1" i="2"/>
  <c r="AN1" i="2"/>
  <c r="AM1" i="2"/>
  <c r="AL1" i="2"/>
  <c r="AK1" i="2"/>
  <c r="AM2" i="6"/>
  <c r="AL2" i="6"/>
  <c r="AK2" i="6"/>
  <c r="AM2" i="5"/>
  <c r="AL2" i="5" l="1"/>
  <c r="AF1" i="2" l="1"/>
  <c r="AK2" i="5"/>
  <c r="T29" i="1" l="1"/>
  <c r="AJ2" i="6" l="1"/>
  <c r="AI2" i="6"/>
  <c r="AJ2" i="5"/>
  <c r="AI2" i="5"/>
  <c r="AD2" i="5"/>
  <c r="R2" i="5"/>
  <c r="AH2" i="6" l="1"/>
  <c r="AG2" i="6"/>
  <c r="AF2" i="6"/>
  <c r="AE2" i="6"/>
  <c r="AD2" i="6"/>
  <c r="AC2" i="6"/>
  <c r="AB2" i="6"/>
  <c r="AA2" i="6"/>
  <c r="Z2" i="6"/>
  <c r="Y2" i="6"/>
  <c r="X2" i="6"/>
  <c r="W2" i="6"/>
  <c r="V2" i="6"/>
  <c r="U2" i="6"/>
  <c r="T2" i="6"/>
  <c r="S2" i="6"/>
  <c r="R2" i="6"/>
  <c r="Q2" i="6"/>
  <c r="P2" i="6"/>
  <c r="N2" i="6"/>
  <c r="L2" i="6"/>
  <c r="K2" i="6"/>
  <c r="J2" i="6"/>
  <c r="I2" i="6"/>
  <c r="H2" i="6"/>
  <c r="G2" i="6"/>
  <c r="F2" i="6"/>
  <c r="E2" i="6"/>
  <c r="D2" i="6"/>
  <c r="C2" i="6"/>
  <c r="B2" i="6"/>
  <c r="U2" i="5"/>
  <c r="D2" i="5"/>
  <c r="BO2" i="5"/>
  <c r="AH2" i="5"/>
  <c r="AE2" i="5"/>
  <c r="AB2" i="5"/>
  <c r="Y2" i="5"/>
  <c r="X2" i="5"/>
  <c r="W2" i="5"/>
  <c r="Q2" i="5"/>
  <c r="P2" i="5"/>
  <c r="M2" i="5"/>
  <c r="L2" i="5"/>
  <c r="K2" i="5"/>
  <c r="J2" i="5"/>
  <c r="I2" i="5"/>
  <c r="H2" i="5"/>
  <c r="G2" i="5"/>
  <c r="F2" i="5"/>
  <c r="E2" i="5"/>
  <c r="C2" i="5"/>
  <c r="AJ1" i="2"/>
  <c r="AI1" i="2"/>
  <c r="AL1" i="3"/>
  <c r="AK1" i="3"/>
  <c r="AG1" i="3"/>
  <c r="AF1" i="3"/>
  <c r="A1" i="5" l="1"/>
  <c r="B1" i="5" s="1"/>
  <c r="C1" i="5"/>
  <c r="H2" i="1"/>
  <c r="I2" i="1"/>
  <c r="J2" i="1"/>
  <c r="K2" i="1"/>
  <c r="L2" i="1"/>
  <c r="M2" i="1"/>
  <c r="N2" i="1"/>
  <c r="O2" i="1"/>
  <c r="P2" i="1"/>
  <c r="Q2" i="1"/>
  <c r="R2" i="1"/>
  <c r="S2" i="1"/>
  <c r="T50" i="1"/>
  <c r="U34" i="1"/>
  <c r="U30" i="1"/>
  <c r="T34" i="1"/>
  <c r="T30" i="1"/>
  <c r="T55" i="1"/>
  <c r="T27" i="1"/>
  <c r="T31" i="1"/>
  <c r="U31" i="1"/>
  <c r="T47" i="1"/>
  <c r="U47" i="1"/>
  <c r="T62" i="1"/>
  <c r="U62" i="1"/>
  <c r="T53" i="1"/>
  <c r="U53" i="1"/>
  <c r="T41" i="1"/>
  <c r="U41" i="1"/>
  <c r="T36" i="1"/>
  <c r="U36" i="1"/>
  <c r="T69" i="1"/>
  <c r="U69" i="1"/>
  <c r="T65" i="1"/>
  <c r="U65" i="1"/>
  <c r="T63" i="1"/>
  <c r="U63" i="1"/>
  <c r="T57" i="1"/>
  <c r="U57" i="1"/>
  <c r="T54" i="1"/>
  <c r="U54" i="1"/>
  <c r="T61" i="1"/>
  <c r="U61" i="1"/>
  <c r="T35" i="1"/>
  <c r="U35" i="1"/>
  <c r="T44" i="1"/>
  <c r="U44" i="1"/>
  <c r="T42" i="1"/>
  <c r="U42" i="1"/>
  <c r="T81" i="1"/>
  <c r="U81" i="1"/>
  <c r="T72" i="1"/>
  <c r="U72" i="1"/>
  <c r="T60" i="1"/>
  <c r="U60" i="1"/>
  <c r="T38" i="1"/>
  <c r="U38" i="1"/>
  <c r="U24" i="1"/>
  <c r="T24" i="1"/>
  <c r="U50" i="1"/>
  <c r="U55" i="1"/>
  <c r="AH1" i="3" l="1"/>
  <c r="AD1" i="3"/>
  <c r="AC1" i="3" l="1"/>
  <c r="AH1" i="2" l="1"/>
  <c r="AG1" i="2"/>
  <c r="AE1" i="2"/>
  <c r="AD1" i="2"/>
  <c r="AC1" i="2"/>
  <c r="U27" i="1"/>
  <c r="U21" i="1"/>
  <c r="U20" i="1"/>
  <c r="U17" i="1"/>
  <c r="U16" i="1"/>
  <c r="U58" i="1"/>
  <c r="U22" i="1"/>
  <c r="U45" i="1"/>
  <c r="U67" i="1"/>
  <c r="U74" i="1"/>
  <c r="U76" i="1"/>
  <c r="U73" i="1"/>
  <c r="U32" i="1"/>
  <c r="U39" i="1"/>
  <c r="U48" i="1"/>
  <c r="U33" i="1"/>
  <c r="U15" i="1"/>
  <c r="U49" i="1"/>
  <c r="U51" i="1"/>
  <c r="W11" i="1" s="1"/>
  <c r="U40" i="1"/>
  <c r="U14" i="1"/>
  <c r="U59" i="1"/>
  <c r="U29" i="1"/>
  <c r="U28" i="1"/>
  <c r="U56" i="1"/>
  <c r="U26" i="1"/>
  <c r="U37" i="1"/>
  <c r="U13" i="1"/>
  <c r="U19" i="1"/>
  <c r="U25" i="1"/>
  <c r="U18" i="1"/>
  <c r="U12" i="1"/>
  <c r="U11" i="1"/>
  <c r="U23" i="1"/>
  <c r="U10" i="1"/>
  <c r="U9" i="1"/>
  <c r="U8" i="1"/>
  <c r="U7" i="1"/>
  <c r="U6" i="1"/>
  <c r="U5" i="1"/>
  <c r="U4" i="1"/>
  <c r="T21" i="1"/>
  <c r="T20" i="1"/>
  <c r="T17" i="1"/>
  <c r="T16" i="1"/>
  <c r="T58" i="1"/>
  <c r="T22" i="1"/>
  <c r="T45" i="1"/>
  <c r="T67" i="1"/>
  <c r="T74" i="1"/>
  <c r="T76" i="1"/>
  <c r="T73" i="1"/>
  <c r="T32" i="1"/>
  <c r="T39" i="1"/>
  <c r="T48" i="1"/>
  <c r="T33" i="1"/>
  <c r="T15" i="1"/>
  <c r="T49" i="1"/>
  <c r="T51" i="1"/>
  <c r="X4" i="1" s="1"/>
  <c r="T40" i="1"/>
  <c r="T14" i="1"/>
  <c r="T59" i="1"/>
  <c r="T28" i="1"/>
  <c r="T56" i="1"/>
  <c r="T26" i="1"/>
  <c r="T37" i="1"/>
  <c r="T13" i="1"/>
  <c r="T19" i="1"/>
  <c r="T25" i="1"/>
  <c r="T18" i="1"/>
  <c r="T12" i="1"/>
  <c r="T11" i="1"/>
  <c r="T23" i="1"/>
  <c r="T10" i="1"/>
  <c r="T9" i="1"/>
  <c r="T8" i="1"/>
  <c r="T7" i="1"/>
  <c r="T6" i="1"/>
  <c r="T5" i="1"/>
  <c r="T4" i="1"/>
  <c r="X11" i="1" l="1"/>
  <c r="X6" i="1"/>
  <c r="V1" i="3"/>
  <c r="X7" i="1" l="1"/>
  <c r="Y6" i="1"/>
  <c r="N1" i="3"/>
  <c r="X8" i="1" l="1"/>
  <c r="Y7" i="1"/>
  <c r="AE1" i="3"/>
  <c r="X9" i="1" l="1"/>
  <c r="Y9" i="1" s="1"/>
  <c r="Y8" i="1"/>
  <c r="S1" i="3"/>
  <c r="B1" i="3" l="1"/>
  <c r="T1" i="3"/>
  <c r="M1" i="3" l="1"/>
  <c r="AA1" i="3" l="1"/>
  <c r="AB1" i="3" l="1"/>
  <c r="J1" i="3" l="1"/>
  <c r="AB1" i="2" l="1"/>
  <c r="AA1" i="2" l="1"/>
  <c r="R1" i="3" l="1"/>
  <c r="Z1" i="3" l="1"/>
  <c r="Y1" i="3"/>
  <c r="X1" i="3"/>
  <c r="W1" i="3"/>
  <c r="U1" i="3"/>
  <c r="Q1" i="3"/>
  <c r="P1" i="3"/>
  <c r="O1" i="3"/>
  <c r="L1" i="3"/>
  <c r="K1" i="3"/>
  <c r="I1" i="3"/>
  <c r="H1" i="3"/>
  <c r="G1" i="3"/>
  <c r="F1" i="3"/>
  <c r="E1" i="3"/>
  <c r="D1" i="3"/>
  <c r="C1" i="3"/>
  <c r="Z1" i="2" l="1"/>
  <c r="Y1" i="2"/>
  <c r="X1" i="2"/>
  <c r="W1" i="2"/>
  <c r="V1" i="2"/>
  <c r="U1" i="2"/>
  <c r="T1" i="2"/>
  <c r="S1" i="2"/>
  <c r="R1" i="2"/>
  <c r="Q1" i="2"/>
  <c r="P1" i="2"/>
  <c r="O1" i="2"/>
  <c r="N1" i="2"/>
  <c r="M1" i="2"/>
  <c r="L1" i="2"/>
  <c r="K1" i="2"/>
  <c r="J1" i="2"/>
  <c r="I1" i="2"/>
  <c r="H1" i="2"/>
  <c r="G1" i="2"/>
  <c r="F1" i="2"/>
  <c r="E1" i="2"/>
  <c r="D1" i="2"/>
  <c r="C1" i="2"/>
  <c r="B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 Froberg</author>
  </authors>
  <commentList>
    <comment ref="BL10" authorId="0" shapeId="0" xr:uid="{2C8BBA27-9B4F-4A48-BC2B-E40A2F61CB19}">
      <text>
        <r>
          <rPr>
            <b/>
            <sz val="9"/>
            <color indexed="81"/>
            <rFont val="Tahoma"/>
            <family val="2"/>
          </rPr>
          <t>Robert Froberg:</t>
        </r>
        <r>
          <rPr>
            <sz val="9"/>
            <color indexed="81"/>
            <rFont val="Tahoma"/>
            <family val="2"/>
          </rPr>
          <t xml:space="preserve">
1. Window - (2 feet by 4 feet, up to 2 feet deep), which you can place on a vertical surface you can reach
2. (2) A riding horse with saddle bags
3. Silver coffer (1 foot long, 6 inches wide and deep) worth 500 gp
4. Portable ram
5. 10 gems worth 100gp each
6. Wooden ladder (24 feet long)
7. Iron door (up to 10 feet wide and 10 feet high, barred on one side of your choice), which you can place in an opening you can reach; it conforms to fit the opening, attaching and hinging itself
8. (2) Bag of 100 gp</t>
        </r>
      </text>
    </comment>
    <comment ref="BL12" authorId="0" shapeId="0" xr:uid="{A1369940-5211-4522-B6FF-B54F921A10BB}">
      <text>
        <r>
          <rPr>
            <b/>
            <sz val="9"/>
            <color indexed="81"/>
            <rFont val="Tahoma"/>
            <family val="2"/>
          </rPr>
          <t>Robert Froberg:</t>
        </r>
        <r>
          <rPr>
            <sz val="9"/>
            <color indexed="81"/>
            <rFont val="Tahoma"/>
            <family val="2"/>
          </rPr>
          <t xml:space="preserve">
(8 of clubs) Orc
(2 of clubs) Kobold
(8 of hearts) Bugbear
(2 of hearts) Goblin
(9 of clubs) Ogre
(Ace of spades) Lich</t>
        </r>
      </text>
    </comment>
    <comment ref="BK27" authorId="0" shapeId="0" xr:uid="{668BF52D-4E38-449C-97E8-6A5F987C43F1}">
      <text>
        <r>
          <rPr>
            <b/>
            <sz val="9"/>
            <color indexed="81"/>
            <rFont val="Tahoma"/>
            <family val="2"/>
          </rPr>
          <t>Robert Froberg:</t>
        </r>
        <r>
          <rPr>
            <sz val="9"/>
            <color indexed="81"/>
            <rFont val="Tahoma"/>
            <family val="2"/>
          </rPr>
          <t xml:space="preserve">
1. Window - (2 feet by 4 feet, up to 2 feet deep), which you can place on a vertical surface you can reach
2. (2) A riding horse with saddle bags
3. Silver coffer (1 foot long, 6 inches wide and deep) worth 500 gp
4. Portable ram
5. 10 gems worth 100gp each
6. Wooden ladder (24 feet long)
7. Iron door (up to 10 feet wide and 10 feet high, barred on one side of your choice), which you can place in an opening you can reach; it conforms to fit the opening, attaching and hinging itself
8. (2) Bag of 100 gp</t>
        </r>
      </text>
    </comment>
    <comment ref="BK28" authorId="0" shapeId="0" xr:uid="{CF2A6F14-0582-4E6C-917F-3C5A3417D667}">
      <text>
        <r>
          <rPr>
            <b/>
            <sz val="9"/>
            <color indexed="81"/>
            <rFont val="Tahoma"/>
            <family val="2"/>
          </rPr>
          <t>Robert Froberg:</t>
        </r>
        <r>
          <rPr>
            <sz val="9"/>
            <color indexed="81"/>
            <rFont val="Tahoma"/>
            <family val="2"/>
          </rPr>
          <t xml:space="preserve">
(8 of clubs) Orc
(2 of clubs) Kobold
(8 of hearts) Bugbear
(2 of hearts) Goblin
(9 of clubs) Ogre
(Ace of spades) Lich</t>
        </r>
      </text>
    </comment>
  </commentList>
</comments>
</file>

<file path=xl/sharedStrings.xml><?xml version="1.0" encoding="utf-8"?>
<sst xmlns="http://schemas.openxmlformats.org/spreadsheetml/2006/main" count="13035" uniqueCount="4209">
  <si>
    <t>Total</t>
  </si>
  <si>
    <t>Number</t>
  </si>
  <si>
    <t>Campaign</t>
  </si>
  <si>
    <t>Season</t>
  </si>
  <si>
    <t>WPM</t>
  </si>
  <si>
    <t>Red War</t>
  </si>
  <si>
    <t>Name</t>
  </si>
  <si>
    <t>Subclass</t>
  </si>
  <si>
    <t>Artificer</t>
  </si>
  <si>
    <t>Barbarian</t>
  </si>
  <si>
    <t>Bard</t>
  </si>
  <si>
    <t>Cleric</t>
  </si>
  <si>
    <t>Druid</t>
  </si>
  <si>
    <t>Fighter</t>
  </si>
  <si>
    <t>Monk</t>
  </si>
  <si>
    <t>Paladin</t>
  </si>
  <si>
    <t>Ranger</t>
  </si>
  <si>
    <t>Rogue</t>
  </si>
  <si>
    <t>Sorcerer</t>
  </si>
  <si>
    <t>Warlock</t>
  </si>
  <si>
    <t>Wizard</t>
  </si>
  <si>
    <t>Level</t>
  </si>
  <si>
    <t>of Classes</t>
  </si>
  <si>
    <t>Forgotten Realms</t>
  </si>
  <si>
    <t>HT</t>
  </si>
  <si>
    <t>n/a</t>
  </si>
  <si>
    <t>LEE-ROY!</t>
  </si>
  <si>
    <t>Path of the Totem</t>
  </si>
  <si>
    <t>Y</t>
  </si>
  <si>
    <t>Lynus</t>
  </si>
  <si>
    <t>College of Lore</t>
  </si>
  <si>
    <t>HT T4</t>
  </si>
  <si>
    <t>Zalyria</t>
  </si>
  <si>
    <t>Assassin / Champion</t>
  </si>
  <si>
    <t>T4</t>
  </si>
  <si>
    <t>Yensid</t>
  </si>
  <si>
    <t>School of Evocation</t>
  </si>
  <si>
    <t>T3</t>
  </si>
  <si>
    <t>HT T3</t>
  </si>
  <si>
    <t>Superb</t>
  </si>
  <si>
    <t>Great Old One</t>
  </si>
  <si>
    <t>T2</t>
  </si>
  <si>
    <t>SoBW</t>
  </si>
  <si>
    <t>Way of the Open Hand</t>
  </si>
  <si>
    <t>T1</t>
  </si>
  <si>
    <t>Mi'ttens</t>
  </si>
  <si>
    <t>Hunter</t>
  </si>
  <si>
    <t>Brakk</t>
  </si>
  <si>
    <t>Life Domain</t>
  </si>
  <si>
    <t>Pyro</t>
  </si>
  <si>
    <t>Draconic</t>
  </si>
  <si>
    <t>Ordrick</t>
  </si>
  <si>
    <t>Samurai</t>
  </si>
  <si>
    <t>Eisner</t>
  </si>
  <si>
    <t>School of Abjuration</t>
  </si>
  <si>
    <t>Baldain</t>
  </si>
  <si>
    <t>Path of the Zealot</t>
  </si>
  <si>
    <t>Oracle of War</t>
  </si>
  <si>
    <t>-</t>
  </si>
  <si>
    <t>Oznah ir'Tigan</t>
  </si>
  <si>
    <t>Artillerist</t>
  </si>
  <si>
    <t>Defender-Three</t>
  </si>
  <si>
    <t>Rune Knight</t>
  </si>
  <si>
    <t>Omni</t>
  </si>
  <si>
    <t>Swashbuckler / Bladesinger</t>
  </si>
  <si>
    <t>Vith</t>
  </si>
  <si>
    <t>Oath of Ancients</t>
  </si>
  <si>
    <t>Cid d'Lyrandar</t>
  </si>
  <si>
    <t>College of Swords / Hexblade / Pally</t>
  </si>
  <si>
    <t xml:space="preserve">Anima Fortis </t>
  </si>
  <si>
    <t>Scout / Gloomstralker</t>
  </si>
  <si>
    <t>GoS</t>
  </si>
  <si>
    <t>Arryn</t>
  </si>
  <si>
    <t>Oathbreaker</t>
  </si>
  <si>
    <t>Roon</t>
  </si>
  <si>
    <t>Circle of Shepard</t>
  </si>
  <si>
    <t>Azkadellia</t>
  </si>
  <si>
    <t>Battlesmith</t>
  </si>
  <si>
    <t>Grinkarr</t>
  </si>
  <si>
    <t>Thief</t>
  </si>
  <si>
    <t>Dayne</t>
  </si>
  <si>
    <t>Hexblade</t>
  </si>
  <si>
    <t>Surlataria</t>
  </si>
  <si>
    <t>Twilight Domain</t>
  </si>
  <si>
    <t>Darkness</t>
  </si>
  <si>
    <t>Shadow</t>
  </si>
  <si>
    <t>N</t>
  </si>
  <si>
    <t>Harlund</t>
  </si>
  <si>
    <t>Circle of the Moon</t>
  </si>
  <si>
    <t>OotA</t>
  </si>
  <si>
    <t>Claudius</t>
  </si>
  <si>
    <t>Oath of Conquest</t>
  </si>
  <si>
    <t>Flavoris Flavoli</t>
  </si>
  <si>
    <t xml:space="preserve">College of Eloquence </t>
  </si>
  <si>
    <t>Jerrica</t>
  </si>
  <si>
    <t>Unicorn</t>
  </si>
  <si>
    <t>Zebulon</t>
  </si>
  <si>
    <t>Way of Shadow</t>
  </si>
  <si>
    <t>Glovil</t>
  </si>
  <si>
    <t>Armorer</t>
  </si>
  <si>
    <t>JRC</t>
  </si>
  <si>
    <t>Nimbus</t>
  </si>
  <si>
    <t>Storm / Tempest Domain</t>
  </si>
  <si>
    <t>Mapletalon</t>
  </si>
  <si>
    <t>Swarmkeeper</t>
  </si>
  <si>
    <t>Bryanna Grimm</t>
  </si>
  <si>
    <t>Battlemaster</t>
  </si>
  <si>
    <t>Glurp</t>
  </si>
  <si>
    <t>Way of the Astral Self</t>
  </si>
  <si>
    <t>Zargon</t>
  </si>
  <si>
    <t>Genie</t>
  </si>
  <si>
    <t>Eitri</t>
  </si>
  <si>
    <t>Forge Domain</t>
  </si>
  <si>
    <t>Aeric Thunderfoot</t>
  </si>
  <si>
    <t>Path of Wild Magic</t>
  </si>
  <si>
    <t>Mu-289</t>
  </si>
  <si>
    <t>Clockwork / Order Domain</t>
  </si>
  <si>
    <t>Roscoe</t>
  </si>
  <si>
    <t>Path of the Giant</t>
  </si>
  <si>
    <t>DC</t>
  </si>
  <si>
    <t>Ziggy</t>
  </si>
  <si>
    <t>Alchemist / Life Domain</t>
  </si>
  <si>
    <t>KGV</t>
  </si>
  <si>
    <t>Riesgraf</t>
  </si>
  <si>
    <t>Soul Knife</t>
  </si>
  <si>
    <t>Edsaanis</t>
  </si>
  <si>
    <t>Alchemist</t>
  </si>
  <si>
    <t>Joliet</t>
  </si>
  <si>
    <t>Scoobert</t>
  </si>
  <si>
    <t>Path of the Beast</t>
  </si>
  <si>
    <t>Roland</t>
  </si>
  <si>
    <t>Purple Dragon Knight</t>
  </si>
  <si>
    <t>Eir</t>
  </si>
  <si>
    <t>Way of the Kensei</t>
  </si>
  <si>
    <t>Billy</t>
  </si>
  <si>
    <t>Aberrant Mind</t>
  </si>
  <si>
    <t>Draft</t>
  </si>
  <si>
    <t>Arcane Trickster</t>
  </si>
  <si>
    <t>Throgs</t>
  </si>
  <si>
    <t>Ancestral Guardians</t>
  </si>
  <si>
    <t>Cogburn</t>
  </si>
  <si>
    <t>Oath of Vengance</t>
  </si>
  <si>
    <t>Hakka</t>
  </si>
  <si>
    <t>Circle of the Land (SPACE!)</t>
  </si>
  <si>
    <t>Queequeg</t>
  </si>
  <si>
    <t>Monster Slayer</t>
  </si>
  <si>
    <t>Grimmir</t>
  </si>
  <si>
    <t>Death Domain</t>
  </si>
  <si>
    <t>Karatos</t>
  </si>
  <si>
    <t>Oath of Glory</t>
  </si>
  <si>
    <t>Titus</t>
  </si>
  <si>
    <t>Circle of Wildfire</t>
  </si>
  <si>
    <t>Thadhan Goatwalker Thuunlakalaga</t>
  </si>
  <si>
    <t>School of Necromancy</t>
  </si>
  <si>
    <t>Cypher</t>
  </si>
  <si>
    <t>College of Creation</t>
  </si>
  <si>
    <t>Gazkin</t>
  </si>
  <si>
    <t>Way of the Ascendant Dragon</t>
  </si>
  <si>
    <t>Nanor</t>
  </si>
  <si>
    <t>Circle of Stars</t>
  </si>
  <si>
    <t>Elwood</t>
  </si>
  <si>
    <t>Archfey</t>
  </si>
  <si>
    <t>Xyn</t>
  </si>
  <si>
    <t>Psychic Warrior</t>
  </si>
  <si>
    <t>Ludo</t>
  </si>
  <si>
    <t>Drakewarden</t>
  </si>
  <si>
    <t>Quelyn</t>
  </si>
  <si>
    <t>Scribes</t>
  </si>
  <si>
    <t>Wildemount</t>
  </si>
  <si>
    <t>NonAL</t>
  </si>
  <si>
    <t>Chej</t>
  </si>
  <si>
    <t>School of Dunamancy</t>
  </si>
  <si>
    <t>Trisstina</t>
  </si>
  <si>
    <t>Circle of Dreams</t>
  </si>
  <si>
    <t>Zhizsa</t>
  </si>
  <si>
    <t>Fiend</t>
  </si>
  <si>
    <t>Ookgra</t>
  </si>
  <si>
    <t>Way of the Sun Soul</t>
  </si>
  <si>
    <t>Thorin</t>
  </si>
  <si>
    <t>Lorian Moonveil</t>
  </si>
  <si>
    <t>Phantom Rogue</t>
  </si>
  <si>
    <t>Vidar Runeaxe</t>
  </si>
  <si>
    <t>Path of the World Tree</t>
  </si>
  <si>
    <t>Eodria Trillis</t>
  </si>
  <si>
    <t>College of Dance</t>
  </si>
  <si>
    <t>Dalmas</t>
  </si>
  <si>
    <t>Artificer Specialists</t>
  </si>
  <si>
    <t>Primal Paths</t>
  </si>
  <si>
    <t>Bard Colleges</t>
  </si>
  <si>
    <t>Divine Domains</t>
  </si>
  <si>
    <t>Druid Circles</t>
  </si>
  <si>
    <t>Martial Archetypes</t>
  </si>
  <si>
    <t>Monastic Traditions</t>
  </si>
  <si>
    <t>Sacred Oaths</t>
  </si>
  <si>
    <t>Ranger Archetypes</t>
  </si>
  <si>
    <t>Roguish Archetypes</t>
  </si>
  <si>
    <t>Sorcerous Origins</t>
  </si>
  <si>
    <t>Otherworldly Patrons</t>
  </si>
  <si>
    <t>Arcane Traditions</t>
  </si>
  <si>
    <t>Path of the Ancestral Guardian</t>
  </si>
  <si>
    <t>Arcana Domain</t>
  </si>
  <si>
    <t>Arcane Archer</t>
  </si>
  <si>
    <t>Way of Mercy</t>
  </si>
  <si>
    <t>Beast Master</t>
  </si>
  <si>
    <t>The Archfey</t>
  </si>
  <si>
    <t>Bladesinging</t>
  </si>
  <si>
    <t>Path of the Battlerager</t>
  </si>
  <si>
    <t>College of Eloquence</t>
  </si>
  <si>
    <t>Circle of Spores</t>
  </si>
  <si>
    <t>Battle Master</t>
  </si>
  <si>
    <t>Oath of Devotion</t>
  </si>
  <si>
    <t>Assassin</t>
  </si>
  <si>
    <t>Clockwork Soul</t>
  </si>
  <si>
    <t>The Celestial</t>
  </si>
  <si>
    <t>Order of Scribes</t>
  </si>
  <si>
    <t>College of Glamour</t>
  </si>
  <si>
    <t>Cavalier</t>
  </si>
  <si>
    <t>Fey Wanderer</t>
  </si>
  <si>
    <t>Inquisitive</t>
  </si>
  <si>
    <t>Divine Soul</t>
  </si>
  <si>
    <t>The Fathomless</t>
  </si>
  <si>
    <t>Battle Smith</t>
  </si>
  <si>
    <t>Path of the Berserker</t>
  </si>
  <si>
    <t>Grave Domain</t>
  </si>
  <si>
    <t>Circle of the Land</t>
  </si>
  <si>
    <t>Champion</t>
  </si>
  <si>
    <t>Oath of Redemption</t>
  </si>
  <si>
    <t>Gloom Stalker</t>
  </si>
  <si>
    <t>Mastermind</t>
  </si>
  <si>
    <t>Draconic Bloodline</t>
  </si>
  <si>
    <t>The Fiend</t>
  </si>
  <si>
    <t>School of Conjuration</t>
  </si>
  <si>
    <t>College of Swords</t>
  </si>
  <si>
    <t>Knowledge Domain</t>
  </si>
  <si>
    <t>Eldritch Knight</t>
  </si>
  <si>
    <t>Way of the Drunken Master</t>
  </si>
  <si>
    <t>Oath of the Ancients</t>
  </si>
  <si>
    <t>Horizon Walker</t>
  </si>
  <si>
    <t>Phantom</t>
  </si>
  <si>
    <t>Shadow Magic</t>
  </si>
  <si>
    <t>The Genie</t>
  </si>
  <si>
    <t>School of Divination</t>
  </si>
  <si>
    <t>Path of the Storm Herald</t>
  </si>
  <si>
    <t>College of Valor</t>
  </si>
  <si>
    <t>Circle of the Shepherd</t>
  </si>
  <si>
    <t>Psi Warrior</t>
  </si>
  <si>
    <t>Way of the Four Elements</t>
  </si>
  <si>
    <t>Oath of the Crown</t>
  </si>
  <si>
    <t>Scout</t>
  </si>
  <si>
    <t>Storm Sorcery</t>
  </si>
  <si>
    <t>The Great Old One</t>
  </si>
  <si>
    <t>School of Enchantment</t>
  </si>
  <si>
    <t>Path of the Totem Warrior/Wild Heart</t>
  </si>
  <si>
    <t>College of Whispers</t>
  </si>
  <si>
    <t>Light Domain</t>
  </si>
  <si>
    <t>Oath of the Watchers</t>
  </si>
  <si>
    <t>Soulknife</t>
  </si>
  <si>
    <t>Wild Magic</t>
  </si>
  <si>
    <t>The Hexblade</t>
  </si>
  <si>
    <t>Nature Domain</t>
  </si>
  <si>
    <t>Way of the Long Death</t>
  </si>
  <si>
    <t>Oath of Vengeance</t>
  </si>
  <si>
    <t>Swashbuckler</t>
  </si>
  <si>
    <t>The Undying</t>
  </si>
  <si>
    <t>School of Illusion</t>
  </si>
  <si>
    <t>Order Domain</t>
  </si>
  <si>
    <t>Peace Domain</t>
  </si>
  <si>
    <t>School of Transmutation</t>
  </si>
  <si>
    <t>Tempest Domain</t>
  </si>
  <si>
    <t>War Magic</t>
  </si>
  <si>
    <t>Trickery Domain</t>
  </si>
  <si>
    <t>War Domain</t>
  </si>
  <si>
    <t>Circle of the Sea</t>
  </si>
  <si>
    <t>Warrior of the Elements</t>
  </si>
  <si>
    <t>PC/Race</t>
  </si>
  <si>
    <t>Dwarf</t>
  </si>
  <si>
    <t>Elf</t>
  </si>
  <si>
    <t>Gnome</t>
  </si>
  <si>
    <t>Halfling</t>
  </si>
  <si>
    <t>Human</t>
  </si>
  <si>
    <t>Dragonborn</t>
  </si>
  <si>
    <t>Half-Elf</t>
  </si>
  <si>
    <t>Half-Orc</t>
  </si>
  <si>
    <t>Tiefling</t>
  </si>
  <si>
    <t>Aarakocra</t>
  </si>
  <si>
    <t>Genasi</t>
  </si>
  <si>
    <t>Goliath</t>
  </si>
  <si>
    <t>Aasimar</t>
  </si>
  <si>
    <t>Firbolg</t>
  </si>
  <si>
    <t>Kenku</t>
  </si>
  <si>
    <t>Lizardfolk</t>
  </si>
  <si>
    <t>Tabaxi</t>
  </si>
  <si>
    <t>Triton</t>
  </si>
  <si>
    <t>Bugbear</t>
  </si>
  <si>
    <t>Goblin</t>
  </si>
  <si>
    <t>Hobgoblin</t>
  </si>
  <si>
    <t>Kobold</t>
  </si>
  <si>
    <t>Orc</t>
  </si>
  <si>
    <t>Yuan-ti</t>
  </si>
  <si>
    <t>Tortle</t>
  </si>
  <si>
    <t>Gith</t>
  </si>
  <si>
    <t>Shadar-Kai</t>
  </si>
  <si>
    <t>Leonin</t>
  </si>
  <si>
    <t>Satyr</t>
  </si>
  <si>
    <t>Fairy</t>
  </si>
  <si>
    <t>Harengon</t>
  </si>
  <si>
    <t>Shifter</t>
  </si>
  <si>
    <t>Warforged</t>
  </si>
  <si>
    <t>Kalashtar</t>
  </si>
  <si>
    <t>Changling</t>
  </si>
  <si>
    <t>Custom Lineage</t>
  </si>
  <si>
    <t>Centaur</t>
  </si>
  <si>
    <t>Eladrin</t>
  </si>
  <si>
    <t>Minotaur</t>
  </si>
  <si>
    <t>Sea Elf</t>
  </si>
  <si>
    <t>Loxodon</t>
  </si>
  <si>
    <t>Astral Elf</t>
  </si>
  <si>
    <t>Autognome</t>
  </si>
  <si>
    <t>Giff</t>
  </si>
  <si>
    <t>Hadozee</t>
  </si>
  <si>
    <t>Plasmoid</t>
  </si>
  <si>
    <t>Thri-Kreen</t>
  </si>
  <si>
    <t>Brakk Stoneshaft</t>
  </si>
  <si>
    <t>Bryanna</t>
  </si>
  <si>
    <t>Oznah</t>
  </si>
  <si>
    <t>5th level Item Taken</t>
  </si>
  <si>
    <t>Sound of Breaking Wood</t>
  </si>
  <si>
    <t>T. Goatwalker T.</t>
  </si>
  <si>
    <t>Thorin Stoneshaft</t>
  </si>
  <si>
    <t>Billetera de la Prisión</t>
  </si>
  <si>
    <t>Mula de Articulo</t>
  </si>
  <si>
    <t>Gegenstandsträger</t>
  </si>
  <si>
    <t>Fangelsi Veski</t>
  </si>
  <si>
    <t>Legendary</t>
  </si>
  <si>
    <t>Belt of Storm Giant Strength</t>
  </si>
  <si>
    <t>Ioun Stone of Mastery</t>
  </si>
  <si>
    <t>Apparatus of Kwalish</t>
  </si>
  <si>
    <t>Tome of the Stilled Tongue</t>
  </si>
  <si>
    <t>Robe of the Archmagi (Grey)</t>
  </si>
  <si>
    <t>Matalotok</t>
  </si>
  <si>
    <t>Cloak of Invisibility</t>
  </si>
  <si>
    <t>Scarab of Protection</t>
  </si>
  <si>
    <t>Rod of Resurrection</t>
  </si>
  <si>
    <t>Staff of the Magi</t>
  </si>
  <si>
    <t>Eye of Xxiphu</t>
  </si>
  <si>
    <t>Plate +3</t>
  </si>
  <si>
    <t>Vorpal Scimitar</t>
  </si>
  <si>
    <t>Hammer of Thunderbolts</t>
  </si>
  <si>
    <t>Defender (Shortsword)</t>
  </si>
  <si>
    <t>Plate +3 (Guardian)</t>
  </si>
  <si>
    <t>Wave</t>
  </si>
  <si>
    <t>Blood Fury Tattoo</t>
  </si>
  <si>
    <t>Holy Avenger (Greatsword)</t>
  </si>
  <si>
    <t>Ythryn Mythallar</t>
  </si>
  <si>
    <t>Spare</t>
  </si>
  <si>
    <t>Crystal Ball of True Seeing</t>
  </si>
  <si>
    <t>Platinum Scarf (Guardian)</t>
  </si>
  <si>
    <t>Apparatus of Kwalish (10 passenger version)</t>
  </si>
  <si>
    <t>Enspelled Weapon of Tensor's Transformation</t>
  </si>
  <si>
    <t>Cloak of Invisibility (Spider Flavor)</t>
  </si>
  <si>
    <t>Defender (Greatsword)</t>
  </si>
  <si>
    <t>Cloak of Invisiblity (Guardian)</t>
  </si>
  <si>
    <t>Robe of the Archmagi (White)</t>
  </si>
  <si>
    <t xml:space="preserve">Ring of Invisibility </t>
  </si>
  <si>
    <t>Cubic Gate (Prime Material, the Elemental Plane of Fire, the Nine Hells, the Far Realm,the Outlands, and Arborea)</t>
  </si>
  <si>
    <t>Talisman of the Sphere</t>
  </si>
  <si>
    <t>Ascendent Gem Dragon Touched Focus</t>
  </si>
  <si>
    <t>Defender (Longsword)</t>
  </si>
  <si>
    <t>Ollamh Harp</t>
  </si>
  <si>
    <t>Reaper's Scream</t>
  </si>
  <si>
    <t>Ascendant Amethyst Dragons Breath Weapon (Longsword, The First Sword)</t>
  </si>
  <si>
    <t>Ring of Invisiblity</t>
  </si>
  <si>
    <t>Ring of Invisbility</t>
  </si>
  <si>
    <t>Red Wizard Blade</t>
  </si>
  <si>
    <t>Greater Silver Sword</t>
  </si>
  <si>
    <t>Harp of Glided Plenty</t>
  </si>
  <si>
    <t>Luckblade (Rapier)</t>
  </si>
  <si>
    <t>Blackrazor</t>
  </si>
  <si>
    <t>Defender (Rapier)</t>
  </si>
  <si>
    <t>Holy Avenger (Rapier)</t>
  </si>
  <si>
    <t xml:space="preserve">Scarab of Protection </t>
  </si>
  <si>
    <t>Platinum Scarf (Covetous)</t>
  </si>
  <si>
    <t>Ruby Weave Gem</t>
  </si>
  <si>
    <t>Hide Armor +3 (Daphnaie Armor)</t>
  </si>
  <si>
    <t>Vorpal Sword (Scimitar)</t>
  </si>
  <si>
    <t>Rod of Lordly Might</t>
  </si>
  <si>
    <t>Robes of the Archmagi (Grey)</t>
  </si>
  <si>
    <t>Studded Leather +3 (Beacon)</t>
  </si>
  <si>
    <t>Ring of Earth Elemental Command</t>
  </si>
  <si>
    <t>Efreeti Chain (Primordial)</t>
  </si>
  <si>
    <t>Horn of Valhalla (Iron)</t>
  </si>
  <si>
    <t>Cloak of Invisibility (Guardian)</t>
  </si>
  <si>
    <t>Cubic Gate (Material Plane, Abyss, Astral, Avernus, Far Realm, Plane of Earth)</t>
  </si>
  <si>
    <t>Halfplate +3 (Strange Material Dragon Scale Druid Friendly)</t>
  </si>
  <si>
    <t>Ring of Spell Turning</t>
  </si>
  <si>
    <t xml:space="preserve">Sphere of Annihilation </t>
  </si>
  <si>
    <t>Jester's Mask</t>
  </si>
  <si>
    <t>Cubic Gate (Prime Material, the Elemental Plane of Fire, the Nine Hells, the Far Realm, the Outlands, and Arborea)</t>
  </si>
  <si>
    <t>Stonebreaker's Breastplate</t>
  </si>
  <si>
    <t>Crystal Ball of Telepathy (Hidden Message)</t>
  </si>
  <si>
    <t>Harp of Gilded Plenty</t>
  </si>
  <si>
    <t>Ring of Air Elemental Command</t>
  </si>
  <si>
    <t>Very Rare</t>
  </si>
  <si>
    <t>Greatsword +3</t>
  </si>
  <si>
    <t>Breastplate +2</t>
  </si>
  <si>
    <t>Longbow +3</t>
  </si>
  <si>
    <t>Carpet of Flying (6x9)</t>
  </si>
  <si>
    <t>Yklwa +3</t>
  </si>
  <si>
    <t>Halfplate +2 (Druid Friendly Stone, Dwarvish)</t>
  </si>
  <si>
    <t>Warhammer +3</t>
  </si>
  <si>
    <t>Staff of Fire</t>
  </si>
  <si>
    <t>Rod of Hellish Flames</t>
  </si>
  <si>
    <t>Scimitar of Speed</t>
  </si>
  <si>
    <t>Whip +3</t>
  </si>
  <si>
    <t>Maul +3</t>
  </si>
  <si>
    <t>Belt of Fire Giant Strength</t>
  </si>
  <si>
    <t>Shield +3</t>
  </si>
  <si>
    <t>Staff of Power</t>
  </si>
  <si>
    <t>All Purpose Tool +3</t>
  </si>
  <si>
    <t>Cloak of Arachnida</t>
  </si>
  <si>
    <t>Ring of Telekinesis</t>
  </si>
  <si>
    <t>Belt of Stone Giant Strength</t>
  </si>
  <si>
    <t>Blast Scepter</t>
  </si>
  <si>
    <t>Dragonhide Belt +3 (Guardian)</t>
  </si>
  <si>
    <t>Hand Crossbow +3</t>
  </si>
  <si>
    <t>Energy Bow (Shortbow)</t>
  </si>
  <si>
    <t>Rod of the Pactkeeper +3</t>
  </si>
  <si>
    <t>Lifewell Tattoo</t>
  </si>
  <si>
    <t>Dwarven Thrower (Skyfist)</t>
  </si>
  <si>
    <t>Carpet of Flying (4x6)</t>
  </si>
  <si>
    <t>Whispers Greataxe</t>
  </si>
  <si>
    <t>Manual of Gainful Exercise</t>
  </si>
  <si>
    <t>Horseshoes of the Zephyr (Wildmare's Shoes)</t>
  </si>
  <si>
    <t>Anstruth Harp (Grig Fiddle)</t>
  </si>
  <si>
    <t>Moon Sickle +3</t>
  </si>
  <si>
    <t>Greatsword +3 (Githyanki Knight)</t>
  </si>
  <si>
    <t>Bloodwell Vial +3</t>
  </si>
  <si>
    <t>Ring of Amity</t>
  </si>
  <si>
    <t>Dragonhide Belt +3</t>
  </si>
  <si>
    <t>Arcane Grimoire +3 (Guardian)</t>
  </si>
  <si>
    <t>Studded Leather +2</t>
  </si>
  <si>
    <t>Greataxe +2 (Headsman's Axe, Giant Size)</t>
  </si>
  <si>
    <t>Wraps of Unarmed Power +3</t>
  </si>
  <si>
    <t>Ghost Step Tattoo (Harmonious)</t>
  </si>
  <si>
    <t>Helm of Brillance (4 diamonds, 11 rubies, 14 fire opals, 21 opals)</t>
  </si>
  <si>
    <t>Tome of Understanding</t>
  </si>
  <si>
    <t>Frost Brand (Greatsword)</t>
  </si>
  <si>
    <t>Bag of Devouring</t>
  </si>
  <si>
    <t>Tome of Leadership and Influence</t>
  </si>
  <si>
    <t>Oathbow (Shadowsong)</t>
  </si>
  <si>
    <t>Wand of the War Mage +3</t>
  </si>
  <si>
    <t>Carpet of Flying (5x7)</t>
  </si>
  <si>
    <t>Figurine of Wonderous Power Obsidian Steed</t>
  </si>
  <si>
    <t>Helm of Brillance (5 diamonds, 11 rubies, 16 fire opals, and 22 opals)</t>
  </si>
  <si>
    <t>Staff of Striking</t>
  </si>
  <si>
    <t>Spear of Backbiting (Spear)</t>
  </si>
  <si>
    <t>Dancing Sword (Longsword)</t>
  </si>
  <si>
    <t>Cauldron of Rebirth</t>
  </si>
  <si>
    <t>Ring of Shooting Stars</t>
  </si>
  <si>
    <t>Amulet of the Devout +3</t>
  </si>
  <si>
    <t>Rhythm Maker's Drum +3</t>
  </si>
  <si>
    <t>Amulet of the Planes (Naerth's Planar Compass)</t>
  </si>
  <si>
    <t>Spellguard Shield</t>
  </si>
  <si>
    <t>Plate +2</t>
  </si>
  <si>
    <t>Abracadabrus</t>
  </si>
  <si>
    <t>Halfplate +2</t>
  </si>
  <si>
    <t>Staff of Fate</t>
  </si>
  <si>
    <t>Ioun Stone of Insight (Cursed)</t>
  </si>
  <si>
    <t>Sentient Shortsword +1</t>
  </si>
  <si>
    <t>Tasha’s Creeping Keelboat</t>
  </si>
  <si>
    <t>Mudslick Tower</t>
  </si>
  <si>
    <t>Enspelled Weapon 5th Level - Holy Weapon (Dagger)</t>
  </si>
  <si>
    <t>Tome of Clear Thought</t>
  </si>
  <si>
    <t>All-Purpose Tool +3</t>
  </si>
  <si>
    <t>Carpet of Flying (3x5)</t>
  </si>
  <si>
    <t>Manual of Iron Golems</t>
  </si>
  <si>
    <t>Helm of Brilliance</t>
  </si>
  <si>
    <t>Absorbing Tattoo (Force)</t>
  </si>
  <si>
    <t>Fish Suit</t>
  </si>
  <si>
    <t>Nolzur's Marvelous Pigments</t>
  </si>
  <si>
    <t>Dragon Scale Mail (Red)</t>
  </si>
  <si>
    <t>Amulet of the Planes</t>
  </si>
  <si>
    <t>Manual of Bodily Health</t>
  </si>
  <si>
    <t>Dwarven Plate</t>
  </si>
  <si>
    <t>Oathbow</t>
  </si>
  <si>
    <t>Ioun Stone of Leadership</t>
  </si>
  <si>
    <t>Animated Shield</t>
  </si>
  <si>
    <t>Large Barrier Tattoo</t>
  </si>
  <si>
    <t>Battleaxe +3 (Skeggox)</t>
  </si>
  <si>
    <t>Short Sword +3 (Harengon's Freedom)</t>
  </si>
  <si>
    <t>Watchful Helm</t>
  </si>
  <si>
    <t>Ring of Regeneration</t>
  </si>
  <si>
    <t>Sanctum Amulet</t>
  </si>
  <si>
    <t>Ornithopter of Flying</t>
  </si>
  <si>
    <t>Absorbing Tattoo (Fire)</t>
  </si>
  <si>
    <t>Rod of Absorption</t>
  </si>
  <si>
    <t>Elven Thrower (Guardian, Araelathila)</t>
  </si>
  <si>
    <t>Staff of Striking  (Harmonius)</t>
  </si>
  <si>
    <t>Wakened Dragon's Wrath Glaive (Radiant)</t>
  </si>
  <si>
    <t>Absorbing Tattoo (Psychic)</t>
  </si>
  <si>
    <t>Battle Standard of Infernal Power</t>
  </si>
  <si>
    <t>Manual of Stone Golems</t>
  </si>
  <si>
    <t>Frost Brand (Scimitar)</t>
  </si>
  <si>
    <t>Wand of Polymorph</t>
  </si>
  <si>
    <t>Kyrzin's Ooze</t>
  </si>
  <si>
    <t>Cape of Enlargement</t>
  </si>
  <si>
    <t>Sapphire Buckler</t>
  </si>
  <si>
    <t>Staff of Frost</t>
  </si>
  <si>
    <t>Bobbing Lily Pad</t>
  </si>
  <si>
    <t>Ghost Step Tattoo (Sentinel Aberrations)</t>
  </si>
  <si>
    <t>Shield of the Uven Rune</t>
  </si>
  <si>
    <t>Shield +3 (Language Old Iskirthos)</t>
  </si>
  <si>
    <t>Crystalline Chronicle</t>
  </si>
  <si>
    <t>Absorbing Tattoo (Acid, Harmonious)</t>
  </si>
  <si>
    <t>Forcebreaker (Sling)</t>
  </si>
  <si>
    <t>Ghost Step Tattoo (Deep Speech)</t>
  </si>
  <si>
    <t>Horn of Valhalla (Bronze)</t>
  </si>
  <si>
    <t>Dwarven Thrower</t>
  </si>
  <si>
    <t>Book Count</t>
  </si>
  <si>
    <t>Absorbing Tattoo (Necrotic)</t>
  </si>
  <si>
    <t>Rod of Security</t>
  </si>
  <si>
    <t>Ring of Shooting Stars (Fairy Mushroom Ring)</t>
  </si>
  <si>
    <t>Dancing Sword (Rapier, Angel Sting)</t>
  </si>
  <si>
    <t>Candle of Invocation (NG)</t>
  </si>
  <si>
    <t>Plate +2 (Druid Friendly Obsidian)</t>
  </si>
  <si>
    <t>Manual of Quickness of Action</t>
  </si>
  <si>
    <t>Halberd +3 (Imaskari, Temperate)</t>
  </si>
  <si>
    <t>Arcane Grimoire +3</t>
  </si>
  <si>
    <t>Quarterstaff of the Acrobat</t>
  </si>
  <si>
    <t>Robe of Stars (Harmonius)</t>
  </si>
  <si>
    <t>Armor of Safeguarding</t>
  </si>
  <si>
    <t>Quarterstaff +3</t>
  </si>
  <si>
    <t>Strength</t>
  </si>
  <si>
    <t>Staff of Thunder and Lightning</t>
  </si>
  <si>
    <t>Flying Carpet (6x9)</t>
  </si>
  <si>
    <t>Steel (Amdraig)</t>
  </si>
  <si>
    <t>Ioun Stone of Fortitude</t>
  </si>
  <si>
    <t>Greataxe +3</t>
  </si>
  <si>
    <t>Rod of Alertness</t>
  </si>
  <si>
    <t>Amethyst Lodestone</t>
  </si>
  <si>
    <t>Watchful Helm (Harmonius)</t>
  </si>
  <si>
    <t>Pennant of the Vind Rune</t>
  </si>
  <si>
    <t>Antimagic Armor (Breastplate)</t>
  </si>
  <si>
    <t>Wakened Dragon-Touched Focus (Chromatic)</t>
  </si>
  <si>
    <t>Greatsword +3 (Silvered)</t>
  </si>
  <si>
    <t>Rapier +3</t>
  </si>
  <si>
    <t>Dexterity</t>
  </si>
  <si>
    <t xml:space="preserve">Ghost Step Tattoo (Harmonious) </t>
  </si>
  <si>
    <t>Anstruth Harp</t>
  </si>
  <si>
    <t>Longsword +3</t>
  </si>
  <si>
    <t>Greatsword +3 (Drowning feeling)</t>
  </si>
  <si>
    <t>Wakened Dragon Wrath Weapon (Greatsword, Cold)</t>
  </si>
  <si>
    <t>Absorbing Tattoo (Force, War Leader)</t>
  </si>
  <si>
    <t>Absorbing Tattoo (Lightning, Guardian)</t>
  </si>
  <si>
    <t>Dragon Scale Mail (Brass)</t>
  </si>
  <si>
    <t>Dancing Sword (Rapier)</t>
  </si>
  <si>
    <t>Robe of Stars</t>
  </si>
  <si>
    <t>Amethyst Lodestone (Compass)</t>
  </si>
  <si>
    <t>Constitution</t>
  </si>
  <si>
    <t>Ioun Stone of Intellect</t>
  </si>
  <si>
    <t>Elven Thrower</t>
  </si>
  <si>
    <t>Dragon Scale Mail (Bronze)</t>
  </si>
  <si>
    <t>Bow of Melodies (Hand Crossbow, Guardian)</t>
  </si>
  <si>
    <t>Splint +2 (Druid Friendly)</t>
  </si>
  <si>
    <t>Nine Lives Stealer (Longsword)</t>
  </si>
  <si>
    <t>Amethyst Lodestone (Beacon)</t>
  </si>
  <si>
    <t>Fish Suit (d'Cannith)</t>
  </si>
  <si>
    <t>Eldritch Staff (Harmonious)</t>
  </si>
  <si>
    <t>Baleful Talon</t>
  </si>
  <si>
    <t>Intelligence</t>
  </si>
  <si>
    <t>Glaive +3</t>
  </si>
  <si>
    <t>Shortbow +3</t>
  </si>
  <si>
    <t>Wand of the Warmage +3</t>
  </si>
  <si>
    <t>Ioun Stone of Agility</t>
  </si>
  <si>
    <t>Staff of Thunder and Lightning (Hidden Message: Foe in Draconic)</t>
  </si>
  <si>
    <t>Ghost Step Tattoo</t>
  </si>
  <si>
    <t>Scimitar of Speed (Beam Scimitar, Strange Material)</t>
  </si>
  <si>
    <t>Scimitar +3</t>
  </si>
  <si>
    <t>Robe of Scintillating Colors</t>
  </si>
  <si>
    <t>Dragon Scale Mail (Silver)</t>
  </si>
  <si>
    <t>Mindguard Crown</t>
  </si>
  <si>
    <t>Wisdom</t>
  </si>
  <si>
    <t>Platinum Scarf</t>
  </si>
  <si>
    <t>Efreeti Bottle</t>
  </si>
  <si>
    <t>Heward's Hireling Armor</t>
  </si>
  <si>
    <t>Mistral Mantle</t>
  </si>
  <si>
    <t>Charisma</t>
  </si>
  <si>
    <t>Dwarven Plate (Plate)</t>
  </si>
  <si>
    <t>Figurine of Wonderous Power Carnelian Triceratops</t>
  </si>
  <si>
    <t>Crown of Whirling Comets</t>
  </si>
  <si>
    <t>Ioun Stone of Insight</t>
  </si>
  <si>
    <t>Blast Scepter (Harmonius)</t>
  </si>
  <si>
    <t>Wakened Scaled Ornament (White Dragontooth Amulet)</t>
  </si>
  <si>
    <t>Rare</t>
  </si>
  <si>
    <t>Ring of Protection</t>
  </si>
  <si>
    <t>Canaith Mandolin (War Leader)</t>
  </si>
  <si>
    <t>Studded Leather +1</t>
  </si>
  <si>
    <t>Staff of Defense</t>
  </si>
  <si>
    <t>Canaith Mandolin</t>
  </si>
  <si>
    <t>Cube of Force</t>
  </si>
  <si>
    <t>Staff of the Woodlands</t>
  </si>
  <si>
    <t>Necklace of Prayer Beads (1 of each)</t>
  </si>
  <si>
    <t>Cli Lyre</t>
  </si>
  <si>
    <t>Glamoured Studded Leather</t>
  </si>
  <si>
    <t>Periapt of Proof Against Poison</t>
  </si>
  <si>
    <t>Plate +1</t>
  </si>
  <si>
    <t>Cloak of Displacement</t>
  </si>
  <si>
    <t>Warhammer +2</t>
  </si>
  <si>
    <t>Daern's Instant Fortress</t>
  </si>
  <si>
    <t>Stone of Controlling Earth Elementals</t>
  </si>
  <si>
    <t>Badge of the Watch (Hellrider Badge)</t>
  </si>
  <si>
    <t>Bracers of Defense</t>
  </si>
  <si>
    <t>Flametongue (Longsword Velahr'Kerym)</t>
  </si>
  <si>
    <t>Amulet of the Devout +2</t>
  </si>
  <si>
    <t>Badge of the Watch</t>
  </si>
  <si>
    <t>Portable Hole</t>
  </si>
  <si>
    <t>Staff of Healing</t>
  </si>
  <si>
    <t>Necklace of Prayer Beads (Bless, 2x Curing, 2x Favor, Wind Walk)</t>
  </si>
  <si>
    <t>Shield +2 (Guardian, Silver Dragon)</t>
  </si>
  <si>
    <t>Far Realm Shard</t>
  </si>
  <si>
    <t>Eagle Whistle</t>
  </si>
  <si>
    <t>Cape of the Mountebank</t>
  </si>
  <si>
    <t>Maul +2</t>
  </si>
  <si>
    <t>Rhythm Maker's Drum +2</t>
  </si>
  <si>
    <t>Necklace of Prayer Beads (3x Bless, 2x Favor, 1x Wind Walk)</t>
  </si>
  <si>
    <t>Belt of Hill Giant Strength</t>
  </si>
  <si>
    <t>Stirring Dragon's Wrath Weapon (Force, Glaive)</t>
  </si>
  <si>
    <t>Necklace of Prayer Beads (4x Curing, 2x Favor, Harmonious)</t>
  </si>
  <si>
    <t>Outer Essense Shard (Lawful)</t>
  </si>
  <si>
    <t>Moon Sickle +2</t>
  </si>
  <si>
    <t>Dragon Slayer (Greatsword)</t>
  </si>
  <si>
    <t>Butcher’s Bib</t>
  </si>
  <si>
    <t>Dragonhide Belt +2</t>
  </si>
  <si>
    <t>Longbow +2</t>
  </si>
  <si>
    <t>Weapon of Warning (Quarterstaff)</t>
  </si>
  <si>
    <t>Studded Leather +1 (Guardian)</t>
  </si>
  <si>
    <t>Bracers of Flying Daggers</t>
  </si>
  <si>
    <t>Ring of Evasion</t>
  </si>
  <si>
    <t>Rod of the Pactkeeper +2</t>
  </si>
  <si>
    <t>Mace of Smiting</t>
  </si>
  <si>
    <t>Ring of X-Ray Vision</t>
  </si>
  <si>
    <t>Necklace of Prayer Beads (All except Smite)</t>
  </si>
  <si>
    <t>Halfplate +1</t>
  </si>
  <si>
    <t>Elven Chain</t>
  </si>
  <si>
    <t>Amulet of Health</t>
  </si>
  <si>
    <t>Ring of Animal Influence</t>
  </si>
  <si>
    <t>Necklace of Prayer Beads (1 Cure, 3 Favor, 1 Summons, 1 Windwalk)</t>
  </si>
  <si>
    <t>Dragon Wing Bow (Lightning, Longbow)</t>
  </si>
  <si>
    <t>Sun Blade (Dawnfire)</t>
  </si>
  <si>
    <t>Battleaxe +2</t>
  </si>
  <si>
    <t>Sun Blade</t>
  </si>
  <si>
    <t>Cloak of the Bat (Raven flavor)</t>
  </si>
  <si>
    <t>Necklace of Prayer Beads (1x Curing, 2x Favor, 2x Smite, 1x Wind Walking)</t>
  </si>
  <si>
    <t>Ring of Resistance (Fire)</t>
  </si>
  <si>
    <t>Ring of Spell Storing</t>
  </si>
  <si>
    <t>Mantle of Spell Resistance</t>
  </si>
  <si>
    <t>Greatsword +2</t>
  </si>
  <si>
    <t>Ring of the Ram</t>
  </si>
  <si>
    <t>Hell Hound Cloak</t>
  </si>
  <si>
    <t>Flametongue (Longsword)</t>
  </si>
  <si>
    <t>Bloodwell Vial +2</t>
  </si>
  <si>
    <t>Lyre of Building</t>
  </si>
  <si>
    <t>Staff of the Woodlands (Compass)</t>
  </si>
  <si>
    <t>Gem of Seeing</t>
  </si>
  <si>
    <t>Arcane Grimoire +2</t>
  </si>
  <si>
    <t>Quarterstaff +2</t>
  </si>
  <si>
    <t>Rogue's Mantle</t>
  </si>
  <si>
    <t>Kagonesti Forest Shroud</t>
  </si>
  <si>
    <t>Halfplate +1 (Sentinel Devils)</t>
  </si>
  <si>
    <t>Bow of Conflagration (Deep's Fury)</t>
  </si>
  <si>
    <t>Scorpion Armor</t>
  </si>
  <si>
    <t>Snurre's Cape</t>
  </si>
  <si>
    <t>Wand of Viscid Globs</t>
  </si>
  <si>
    <t>Staff of Swarming Insects</t>
  </si>
  <si>
    <t>Dagger of Blindsight</t>
  </si>
  <si>
    <t>Staff of the Rooted Hills</t>
  </si>
  <si>
    <t>Wayfarer's Boots</t>
  </si>
  <si>
    <t>Greataxe +2</t>
  </si>
  <si>
    <t>Bowl of Commanding Water Elementals</t>
  </si>
  <si>
    <t>Glaive +2</t>
  </si>
  <si>
    <t>Chime of Opening</t>
  </si>
  <si>
    <t>Atlas of Endless Horizons</t>
  </si>
  <si>
    <t>Necklace of Prayer Beads (Bless, Curing, Favor, Summons, Wind Walk)</t>
  </si>
  <si>
    <t>Hell Hound Cloak (Winter Wolf Cloak)</t>
  </si>
  <si>
    <t>Wand of Lightning Bolts</t>
  </si>
  <si>
    <t>Figurine of Wonderous Power Ivory Goats</t>
  </si>
  <si>
    <t>Knave’s Eye Patch</t>
  </si>
  <si>
    <t>Wand of Fireballs</t>
  </si>
  <si>
    <t>Shadowfell Shard</t>
  </si>
  <si>
    <t>War Horn of Valor</t>
  </si>
  <si>
    <t>Luminous War Pick</t>
  </si>
  <si>
    <t>Horseshoes of Speed</t>
  </si>
  <si>
    <t>Necklace of Prayer Beads (1x Bless, 1x Curing, 1x Smiting, 1x Planar Ally, 1x Wind Walk)</t>
  </si>
  <si>
    <t>Glaive +2 (Guardian)</t>
  </si>
  <si>
    <t>Boots of Speed (language: Gnomish)</t>
  </si>
  <si>
    <t>Ioun Stone of Reserve</t>
  </si>
  <si>
    <t>Astromancy Archive (Guardian)</t>
  </si>
  <si>
    <t>Wand of Wonder (Harmonious)</t>
  </si>
  <si>
    <t>Necklace of Prayer Beads (blessing, curing, favor, and wind walking)</t>
  </si>
  <si>
    <t>Warhammer +2 (Beacon)</t>
  </si>
  <si>
    <t>Flametongue (Short Sword)</t>
  </si>
  <si>
    <t>Berserker Axe (Greataxe)</t>
  </si>
  <si>
    <t>Brazier of Commanding Fire Elementals</t>
  </si>
  <si>
    <t>Wings of Flying</t>
  </si>
  <si>
    <t>Shortbow +2</t>
  </si>
  <si>
    <t>Necklace of Prayer Beads (3 Bless, 2 Curing)</t>
  </si>
  <si>
    <t>Horn of Valhalla (Silver)</t>
  </si>
  <si>
    <t>Mantle of Spell Resistance (Delver)</t>
  </si>
  <si>
    <t>Bell Branch</t>
  </si>
  <si>
    <t>Gloomwrought Armor (Studded Leather, Harmonius)</t>
  </si>
  <si>
    <t>Bracers of Celerity</t>
  </si>
  <si>
    <t>Splint +1</t>
  </si>
  <si>
    <t>Mimir (Harmonious)</t>
  </si>
  <si>
    <t>Necklace of Prayer Beads (Bless, Curing, Smiting, 2x Favor, Summons)</t>
  </si>
  <si>
    <t>Ioun Stone of Protection</t>
  </si>
  <si>
    <t>Weapon of Wounding (Whip)</t>
  </si>
  <si>
    <t>Portable Hole (Vault of the Efreeti, Ignan)</t>
  </si>
  <si>
    <t>Boots of Speed (Waterborne)</t>
  </si>
  <si>
    <t>Halfplate +1 (Strange Material Leather and Bone Druid Friendly)</t>
  </si>
  <si>
    <t>Opal of the Ild Rune</t>
  </si>
  <si>
    <t>Whip +2</t>
  </si>
  <si>
    <t>Armor of Resistance (Poison, halfplate, Druid friendly mushroom)</t>
  </si>
  <si>
    <t>Ring of Resistance (Psychic)</t>
  </si>
  <si>
    <t>Censor of Controlling Air Elementals</t>
  </si>
  <si>
    <t>Horn of Valhalla (Brass)</t>
  </si>
  <si>
    <t>Helm of Teleportation</t>
  </si>
  <si>
    <t>Astromancy Archive (Compass)</t>
  </si>
  <si>
    <t>Wand of Wonder</t>
  </si>
  <si>
    <t>Ring of Feather Falling</t>
  </si>
  <si>
    <t>Longbow +2 (Sentinel Humans)</t>
  </si>
  <si>
    <t>Iggwilv’s Horn</t>
  </si>
  <si>
    <t>Periapt of Health</t>
  </si>
  <si>
    <t>Halfplate +1 (Strange Material Jasper Druid Friendly)</t>
  </si>
  <si>
    <t>Elemental Essence Shard (Earth)</t>
  </si>
  <si>
    <t>Banner of the Krig Rune</t>
  </si>
  <si>
    <t>Heavy Crossbow +2</t>
  </si>
  <si>
    <t>Armor of Radiant Resistance (half-plate)</t>
  </si>
  <si>
    <t>Necklace of Prayer Beads (3x Blessing, Curing, Favor, Wind Walk)</t>
  </si>
  <si>
    <t>Ring of Free Action</t>
  </si>
  <si>
    <t>Boots of Speed</t>
  </si>
  <si>
    <t>Battering Shield</t>
  </si>
  <si>
    <t>Sword of Vengeance</t>
  </si>
  <si>
    <t>Cloak of the Bat</t>
  </si>
  <si>
    <t>Atlas of Endless Horizons (Blink Dog's Guide to Transversing the Feywild)</t>
  </si>
  <si>
    <t>Demon Skin (Plate)</t>
  </si>
  <si>
    <t>Flayer Slayer</t>
  </si>
  <si>
    <t>Dimensional Shackles</t>
  </si>
  <si>
    <t>Belt of Dwarvenkind</t>
  </si>
  <si>
    <t>Cloak of the Bat (Guardian)</t>
  </si>
  <si>
    <t>Shortsword +2</t>
  </si>
  <si>
    <t>Necklace of Prayer Beads (4x Bless, 1x Curing, 1x Favor)</t>
  </si>
  <si>
    <t>Ring of Free Action (Harmonious)</t>
  </si>
  <si>
    <t>Warrior's Passkey</t>
  </si>
  <si>
    <t>Duplicitous Manuscript</t>
  </si>
  <si>
    <t>Vicious Weapon (Rapier, Hag's Clawblade)</t>
  </si>
  <si>
    <t>Wand of Paralysis (Siren's Caress)</t>
  </si>
  <si>
    <t>Alchemical Compendium</t>
  </si>
  <si>
    <t>Tentacle Rod</t>
  </si>
  <si>
    <t>Vicious Weapon (Longsword)</t>
  </si>
  <si>
    <t>Shadowfell Brand Tattoo (Harmonius)</t>
  </si>
  <si>
    <t>Longsword +2 (Beacon, Blazherserblane)</t>
  </si>
  <si>
    <t>Dagger of Venom</t>
  </si>
  <si>
    <t>Claw of the Wyrm Rune</t>
  </si>
  <si>
    <t>Greataxe +2 (Rimesplitter)</t>
  </si>
  <si>
    <t xml:space="preserve">Spear +2 </t>
  </si>
  <si>
    <t>Starshot Hand Crossbow</t>
  </si>
  <si>
    <t>Medium Barrier Tattoo</t>
  </si>
  <si>
    <t>Eagle Whistle (antler horn)</t>
  </si>
  <si>
    <t>Necklace of Prayer Beads (2 Bless, 1 Curing, 2 Favor, 1 Summons)</t>
  </si>
  <si>
    <t>Necklace of Adaptation</t>
  </si>
  <si>
    <t>Dragon Wing Bow (Force, Longbow)</t>
  </si>
  <si>
    <t>Staff of Swarming Insects (Scarabs)</t>
  </si>
  <si>
    <t>Necklace of Prayer Beads (1x Bless, 1x Curing, 2x Favor, 1x Summons, 1x Wind Walk)</t>
  </si>
  <si>
    <t>Giant Slayer (Shortsword)</t>
  </si>
  <si>
    <t>Shield +2</t>
  </si>
  <si>
    <t>Figurine of Wonderous Power Ebony Fly</t>
  </si>
  <si>
    <t>Elven Chain (Undercommon)</t>
  </si>
  <si>
    <t>Serpent's Fang</t>
  </si>
  <si>
    <t>Scale Mail +1</t>
  </si>
  <si>
    <t>Weapon of Warning (Spear)</t>
  </si>
  <si>
    <t>Rapier +2 (Guardian)</t>
  </si>
  <si>
    <t>Robe of Eyes</t>
  </si>
  <si>
    <t>Ring of Resistance (Cold)</t>
  </si>
  <si>
    <t>Devotee's Censor</t>
  </si>
  <si>
    <t>Folding Boat</t>
  </si>
  <si>
    <t>Enspelled Weapon 3rd Level - Haste (Dagger)</t>
  </si>
  <si>
    <t>Armor of Resistance (Fire, chain shirt)</t>
  </si>
  <si>
    <t>Iron Bands of Bilarro</t>
  </si>
  <si>
    <t>Armor of Necrotic Resistance (Studded Leather)</t>
  </si>
  <si>
    <t>Wand of Winter</t>
  </si>
  <si>
    <t>Galder's Bubble Pipe</t>
  </si>
  <si>
    <t>Sun Staff</t>
  </si>
  <si>
    <t>Outer Essence Shard (Good)</t>
  </si>
  <si>
    <t>Necklace of Prayer Beads (2x Bless, 1x Curing, 2x Favor, 1x Summons)</t>
  </si>
  <si>
    <t>Stirring Dragon's Wrath Weapon (Pistol, Force)</t>
  </si>
  <si>
    <t>Helm of Telepathy</t>
  </si>
  <si>
    <t>Protective Verses</t>
  </si>
  <si>
    <t>Necklace of Prayer Beads (1x Bless, 1x Curing, 3x Favor, 1x Wind Walk)</t>
  </si>
  <si>
    <t>Heward's Handy Haversack</t>
  </si>
  <si>
    <t>Reveler's Concertina</t>
  </si>
  <si>
    <t>Mace of Disruption (Harmonious)</t>
  </si>
  <si>
    <t>Necklace of Prayer Beads (3x Bless, Curing, Smiting, Wind Walking)</t>
  </si>
  <si>
    <t>Mace of Terror</t>
  </si>
  <si>
    <t>All Purpose Tool +2</t>
  </si>
  <si>
    <t>Dragon Wing Bow (Radiant, Longbow)</t>
  </si>
  <si>
    <t>Mantle of Spell Resistance (Guardian)</t>
  </si>
  <si>
    <t>Arrow Catching Shield</t>
  </si>
  <si>
    <t>Necklace of Prayer Beads (2x blessing, favor, 2x smiting, and wind walking)</t>
  </si>
  <si>
    <t>Portable Hole (Language: Ignan)</t>
  </si>
  <si>
    <t>Necklace of Prayer Beads (2x Bless, Curing, 2x Favor, Summons)</t>
  </si>
  <si>
    <t>Ring of Resistance (Acid, Giant Size)</t>
  </si>
  <si>
    <t>Sword of Life Stealing (Scimitar, Night Cutter)</t>
  </si>
  <si>
    <t>Crystal Blade (Rapier)</t>
  </si>
  <si>
    <t>Dragonwing Bow (Radiant, Longbow)</t>
  </si>
  <si>
    <t>Gwa'thern Faln</t>
  </si>
  <si>
    <t>Chainmail +1</t>
  </si>
  <si>
    <t>Astromancy Archive</t>
  </si>
  <si>
    <t>Necklace of Prayer Beads (2x Curing, 4x Favor)</t>
  </si>
  <si>
    <t>Ring of Feather Falling (Sprite's Rescue)</t>
  </si>
  <si>
    <t>Berserker Axe (Handaxe)</t>
  </si>
  <si>
    <t>Libram of Souls and Flesh</t>
  </si>
  <si>
    <t>Figurine of Wonderous Power Golden Lions</t>
  </si>
  <si>
    <t>Lash of Immolation</t>
  </si>
  <si>
    <t>Armor of Resistance (Half plate, poison, druid friendly)</t>
  </si>
  <si>
    <t xml:space="preserve">Figurine of Wonderous Power </t>
  </si>
  <si>
    <t>Crystal Blade (Greatsword)</t>
  </si>
  <si>
    <t>Horn of Blasting (Language: Giant)</t>
  </si>
  <si>
    <t>Armor of Resistance (Force, plate)</t>
  </si>
  <si>
    <t>Chain Mail +1</t>
  </si>
  <si>
    <t>Figurine of Wonderous Power Ebony Fly (Illiusion: Horse Fly)</t>
  </si>
  <si>
    <t>Armor of Resistance (Psychic, Scale)</t>
  </si>
  <si>
    <t>Necklace of Prayer Beads (Curing, Favor, Smiting, Summons, Wind Walk)</t>
  </si>
  <si>
    <t>Rope of Entanglement</t>
  </si>
  <si>
    <t>Outer Essence Shard (Evil)</t>
  </si>
  <si>
    <t xml:space="preserve">Dagger +2 </t>
  </si>
  <si>
    <t>Necklace of Prayer Beads (2x Bless, 2x Curing, 2x Favor)</t>
  </si>
  <si>
    <t>Flametongue (Longsword, Velahr'Kerym)</t>
  </si>
  <si>
    <t>Planecaller's Codex</t>
  </si>
  <si>
    <t>Staff of Withering</t>
  </si>
  <si>
    <t>Mace of Disruption (Saint Markovia's Thighbone)</t>
  </si>
  <si>
    <t>Mantle of Spell Resistance (Faerie Dragon's Favor)</t>
  </si>
  <si>
    <t>Ioun Stone of protection (Strange material: Icecream)</t>
  </si>
  <si>
    <t>Spider Staff</t>
  </si>
  <si>
    <t>Elven Chain (Temperate)</t>
  </si>
  <si>
    <t>Docent</t>
  </si>
  <si>
    <t>Flametongue (Greatsword)</t>
  </si>
  <si>
    <t>Spear +2</t>
  </si>
  <si>
    <t>Elemental Essence Shard (Fire, Temperate)</t>
  </si>
  <si>
    <t>Outer Essence Shard (Chaotic)</t>
  </si>
  <si>
    <t>Figurine of Wonderous Power (Bronze Griffon)</t>
  </si>
  <si>
    <t>Flame Tongue (Shortsword, detect Gems and Jewels within 60ft)</t>
  </si>
  <si>
    <t>Boots of Speed (Waterbourne)</t>
  </si>
  <si>
    <t>Elemental Essence Shard (Water, Waterbourne)</t>
  </si>
  <si>
    <t>Figurine of Wonderous Power Bronze Griffon</t>
  </si>
  <si>
    <t>Elemental Essence Shard (Earth, Delver)</t>
  </si>
  <si>
    <t>Ring of Water Walking</t>
  </si>
  <si>
    <t>Elemental Essence Shard (Earth, Language Terran)</t>
  </si>
  <si>
    <t>Dragon Slayer (Rapier)</t>
  </si>
  <si>
    <t>Heart Weaver's Primer</t>
  </si>
  <si>
    <t>Dragon Wing Bow (Poison, Hand Crossbow)</t>
  </si>
  <si>
    <t>Elemental essence shard (Water, Language Aquan)</t>
  </si>
  <si>
    <t>Flametongue (Shortsword, Detect Gems Minor Prop)</t>
  </si>
  <si>
    <t>Astral Shard</t>
  </si>
  <si>
    <t>Wand of the War Mage +2</t>
  </si>
  <si>
    <t>Elemental essence shard (earth, Language: Terran)</t>
  </si>
  <si>
    <t>Scimitar +2 (strange material)</t>
  </si>
  <si>
    <t>Figurine of Wonderous Power Serpentine Owl</t>
  </si>
  <si>
    <t>Brass Horn of Valhalla (Horn of Set)</t>
  </si>
  <si>
    <t>Fulminating Treatise</t>
  </si>
  <si>
    <t>Wand of Binding</t>
  </si>
  <si>
    <t>Wand of Paralysis</t>
  </si>
  <si>
    <t>Shield of Missile Attraction</t>
  </si>
  <si>
    <t xml:space="preserve">Figurine of Wondrous Power Bronze Griffin </t>
  </si>
  <si>
    <t>Arrow-Catching Shield</t>
  </si>
  <si>
    <t>Wand of Wonder (Rooster)</t>
  </si>
  <si>
    <t>Vicious Weapon (Glaive)</t>
  </si>
  <si>
    <t>Staff of Defense (Strange Material)</t>
  </si>
  <si>
    <t>Elemental essence shard (Air, Language Auran)</t>
  </si>
  <si>
    <t>Glimmering Moonbow Shortbow (Starlight)</t>
  </si>
  <si>
    <t>Elemental essence shard (Fire, Language Ignan)</t>
  </si>
  <si>
    <t>Elemental essence shard (Earth, Language Terran)</t>
  </si>
  <si>
    <t>Longsword +2</t>
  </si>
  <si>
    <t>Mace +2</t>
  </si>
  <si>
    <t>Morningstar +2</t>
  </si>
  <si>
    <t>Uncommon</t>
  </si>
  <si>
    <t>Boots of Striding and Springing</t>
  </si>
  <si>
    <t>Sentinel Shield</t>
  </si>
  <si>
    <t>Bracers of Archery (Temperate)</t>
  </si>
  <si>
    <t>Gauntlets of Ogre Power</t>
  </si>
  <si>
    <t>Adamantine Armor (Half-Plate)</t>
  </si>
  <si>
    <t>Moon Sickle +1</t>
  </si>
  <si>
    <t>Cloak of Protection</t>
  </si>
  <si>
    <t>Headband of Intellect</t>
  </si>
  <si>
    <t>Goggles of Night</t>
  </si>
  <si>
    <t>Broom of Flying</t>
  </si>
  <si>
    <t>Weapon of Warning (Yklwa)</t>
  </si>
  <si>
    <t>Saddle of the Cavalier</t>
  </si>
  <si>
    <t>Bloodwell Vial +1</t>
  </si>
  <si>
    <t>Sword of Vengeance (Longsword)</t>
  </si>
  <si>
    <t>Wind Fan</t>
  </si>
  <si>
    <t xml:space="preserve">Periapt of Health </t>
  </si>
  <si>
    <t>Insignia of Claws</t>
  </si>
  <si>
    <t>Bag of Holding (Compass)</t>
  </si>
  <si>
    <t>Winged Boots</t>
  </si>
  <si>
    <t>Nightcaller</t>
  </si>
  <si>
    <t>Trident of Fish Command</t>
  </si>
  <si>
    <t>Saddle of the Cavalier (Lathai's Saddle)</t>
  </si>
  <si>
    <t>Driftglobe</t>
  </si>
  <si>
    <t>Dagger +1</t>
  </si>
  <si>
    <t>Bracers of Archery</t>
  </si>
  <si>
    <t>Bag of Holding</t>
  </si>
  <si>
    <t>Eldritch Claw Tattoo (Sentinel)</t>
  </si>
  <si>
    <t>Portal Compass</t>
  </si>
  <si>
    <t>Mithral Armor (Plate)</t>
  </si>
  <si>
    <t>Cloak of the Manta Ray (Nereid Shawl)</t>
  </si>
  <si>
    <t>Handgonne of the Ild Rune</t>
  </si>
  <si>
    <t>Helm of Comprehend Language</t>
  </si>
  <si>
    <t>Gloves of Thievery</t>
  </si>
  <si>
    <t>Wildspace orrery</t>
  </si>
  <si>
    <t>Pyrite Pleisiosaurs</t>
  </si>
  <si>
    <t>Cap of Water Breathing</t>
  </si>
  <si>
    <t>Shield +1</t>
  </si>
  <si>
    <t>Ring of Puzzler's Wit</t>
  </si>
  <si>
    <t>Boots of Elvenkind</t>
  </si>
  <si>
    <t>Circlet of Human Perfection</t>
  </si>
  <si>
    <t>Periapt of Wound Closure</t>
  </si>
  <si>
    <t>Pistol +1</t>
  </si>
  <si>
    <t>Flail +1</t>
  </si>
  <si>
    <t>Lightbringer</t>
  </si>
  <si>
    <t xml:space="preserve">Gloves of Thievery </t>
  </si>
  <si>
    <t>Battleaxe +1</t>
  </si>
  <si>
    <t>Cloak of the Manta Ray</t>
  </si>
  <si>
    <t>Winged Boots (Pixie Winged)</t>
  </si>
  <si>
    <t>Dragonhide Belt +1</t>
  </si>
  <si>
    <t>Circlet of Blasting</t>
  </si>
  <si>
    <t>Serpent Scale Armor</t>
  </si>
  <si>
    <t>Ring of Warmth</t>
  </si>
  <si>
    <t>Shield +1 (of the Salty Griffin)</t>
  </si>
  <si>
    <t>Fochlucan Bandore</t>
  </si>
  <si>
    <t xml:space="preserve">Helm of Comprehend Language </t>
  </si>
  <si>
    <t>Mithral Armor (HalfPlate)</t>
  </si>
  <si>
    <t>Wand of Web (Strange Material: white wood w/ black diamonds cut to resemble spinnerets)</t>
  </si>
  <si>
    <t>Adamantine Armor (Half Plate, ADV for social against Dwarves)</t>
  </si>
  <si>
    <t>Ring of Swimming (Strange Material: Shark Cartilage)</t>
  </si>
  <si>
    <t>Wand of the War Mage +1 (Radiance)</t>
  </si>
  <si>
    <t>Mariner's Armor (Scale Mail)</t>
  </si>
  <si>
    <t>Wraps of Unarmed Prowess +1 (Guardian)</t>
  </si>
  <si>
    <t>Goggles of Night (Gleaming)</t>
  </si>
  <si>
    <t>Mask of the Beast</t>
  </si>
  <si>
    <t>Slippers of Spiderclimbing</t>
  </si>
  <si>
    <t>Bag of Holding (Potato flavor)</t>
  </si>
  <si>
    <t>Ring of Swimming</t>
  </si>
  <si>
    <t>Hat of Disguise</t>
  </si>
  <si>
    <t>Helm of Comprehend Languages</t>
  </si>
  <si>
    <t>Cap of Waterbreathing</t>
  </si>
  <si>
    <t>Emerald Pen</t>
  </si>
  <si>
    <t>Adamantine Armor( Half-Plate)</t>
  </si>
  <si>
    <t>Eyes of Minute Seeing</t>
  </si>
  <si>
    <t>Wand of Secrets</t>
  </si>
  <si>
    <t>Ring of Mind Shielding</t>
  </si>
  <si>
    <t>Immovable Rod</t>
  </si>
  <si>
    <t>Wingwear (Charged)</t>
  </si>
  <si>
    <t>Stone of Good Luck</t>
  </si>
  <si>
    <t>Amulet of the Devout +1</t>
  </si>
  <si>
    <t>Nature's Mantle</t>
  </si>
  <si>
    <t>Quiver of Ehlonna (Quiver of the Centaurs)</t>
  </si>
  <si>
    <t>Rod of the Pact Keeper +1</t>
  </si>
  <si>
    <t>Circlet of Blasting (Compass and arcane focus)</t>
  </si>
  <si>
    <t>Cloak of Protection (Guardian)</t>
  </si>
  <si>
    <t>Wand of Magic Missiles</t>
  </si>
  <si>
    <t>Wildspace Orrey</t>
  </si>
  <si>
    <t>Eldritch Claw Tattoo (Guardian)</t>
  </si>
  <si>
    <t>Ring of Jumping</t>
  </si>
  <si>
    <t>Lantern of Revealing</t>
  </si>
  <si>
    <t>Shortsword +1</t>
  </si>
  <si>
    <t>Wand of Magic Detection</t>
  </si>
  <si>
    <t>Gloves of Swimming and Climbing</t>
  </si>
  <si>
    <t>Javelin of Lightning</t>
  </si>
  <si>
    <t>Mithral Armor (Chainmail)</t>
  </si>
  <si>
    <t>Boots of the Winterlands</t>
  </si>
  <si>
    <t>Quarterstaff +1</t>
  </si>
  <si>
    <t>Alchemy Jug</t>
  </si>
  <si>
    <t>Handaxe +1</t>
  </si>
  <si>
    <t>Slumbering Dragon Vessel</t>
  </si>
  <si>
    <t>Pearl of Power</t>
  </si>
  <si>
    <t>Mithral Armor (Splint)</t>
  </si>
  <si>
    <t>Brooch of Shielding</t>
  </si>
  <si>
    <t>Ring of Waterwalking</t>
  </si>
  <si>
    <t>Goggles of Night (The Night Queen's Eyes)</t>
  </si>
  <si>
    <t>Warhammer +1</t>
  </si>
  <si>
    <t>Rod of the Pactkeeper +1</t>
  </si>
  <si>
    <t>Rapier +1</t>
  </si>
  <si>
    <t>Mithral Armor (Chain Mail)</t>
  </si>
  <si>
    <t>Feywild Shard (Guardian)</t>
  </si>
  <si>
    <t>Sword of Vengeance (Shortsword)</t>
  </si>
  <si>
    <t>Eyes of the Eagle</t>
  </si>
  <si>
    <t>Adamantine Armor (Chain Shirt)</t>
  </si>
  <si>
    <t>Sensory Stone</t>
  </si>
  <si>
    <t>Tan Bag of Tricks</t>
  </si>
  <si>
    <t>Doss Lute</t>
  </si>
  <si>
    <t>Robe of Useful Items</t>
  </si>
  <si>
    <t>Wand of Web</t>
  </si>
  <si>
    <t>Psi Crystal</t>
  </si>
  <si>
    <t>Ring of Truth Telling</t>
  </si>
  <si>
    <t>Sending Stones</t>
  </si>
  <si>
    <t>Pipes of Haunting</t>
  </si>
  <si>
    <t>Guardian Emblem</t>
  </si>
  <si>
    <t>Bag of Tricks (Rust)</t>
  </si>
  <si>
    <t>Amulet of Proof Against Detection and Location</t>
  </si>
  <si>
    <t>Bag of Tricks (Tan)</t>
  </si>
  <si>
    <t>Figurine of Wonderous Power Silver Raven</t>
  </si>
  <si>
    <t>Ring of the Orator</t>
  </si>
  <si>
    <t>Staff of the Python</t>
  </si>
  <si>
    <t>Small Barrier Tattoo</t>
  </si>
  <si>
    <t>Eversmoking Bottle</t>
  </si>
  <si>
    <t>Longsword +1</t>
  </si>
  <si>
    <t>Latern of Revealing</t>
  </si>
  <si>
    <t>Pipes of the Sewers</t>
  </si>
  <si>
    <t>Longbow +1</t>
  </si>
  <si>
    <t>Sword of Vengeance (Greatsword)</t>
  </si>
  <si>
    <t>Quiver of Ehlonna</t>
  </si>
  <si>
    <t>Bag of Holding (Box)</t>
  </si>
  <si>
    <t>Cloak of Elvenkind</t>
  </si>
  <si>
    <t>Mithral Armor (Chain Shirt)</t>
  </si>
  <si>
    <t>Hand Crossbow +1</t>
  </si>
  <si>
    <t>Common</t>
  </si>
  <si>
    <t>Ear Horn of Hearing (Beacon)</t>
  </si>
  <si>
    <t>Ruby of the Warmage</t>
  </si>
  <si>
    <t>Clothes of Mending</t>
  </si>
  <si>
    <t>Dread Helm</t>
  </si>
  <si>
    <t>Wand of Pyrotechnics</t>
  </si>
  <si>
    <t>Clockwork Amulet</t>
  </si>
  <si>
    <t>Enduring Spellbook</t>
  </si>
  <si>
    <t>Heward's Handy Spice Pouch</t>
  </si>
  <si>
    <t>Horn of Silent Alarm</t>
  </si>
  <si>
    <t>Wand of Smiles</t>
  </si>
  <si>
    <t>Cape of Billowing</t>
  </si>
  <si>
    <t>Moontouched (Longsword)</t>
  </si>
  <si>
    <t>Spellwrought Tattoo (Message)</t>
  </si>
  <si>
    <t>Thermal Cube</t>
  </si>
  <si>
    <t>Pocket Watch</t>
  </si>
  <si>
    <t>Talking Doll</t>
  </si>
  <si>
    <t>Chest of Preserving</t>
  </si>
  <si>
    <t>Candle of the Deep</t>
  </si>
  <si>
    <t>Shield of Expression</t>
  </si>
  <si>
    <t>Hat of Wizardry</t>
  </si>
  <si>
    <t>Staff of Birdcalls (Temperate)</t>
  </si>
  <si>
    <t>Talking Doll (Space Guppy flavor)</t>
  </si>
  <si>
    <t>Bell of Silent Carols (Horn of Silent Alarm)</t>
  </si>
  <si>
    <t>Clothes of Mending (Temperate Bomber Jacket)</t>
  </si>
  <si>
    <t>Veteran's Cane (Guardian)</t>
  </si>
  <si>
    <t>Cloak of Billowing</t>
  </si>
  <si>
    <t>Earing of Sending</t>
  </si>
  <si>
    <t>Charlatan's Die</t>
  </si>
  <si>
    <t>Moontouched (Greatsword)</t>
  </si>
  <si>
    <t>Wand of Conducting</t>
  </si>
  <si>
    <t>Chest of Preserving (Gleaming)</t>
  </si>
  <si>
    <t>Masquerade Tattoo</t>
  </si>
  <si>
    <t>Pole of Angling</t>
  </si>
  <si>
    <t>Cloak of Many Fashions</t>
  </si>
  <si>
    <t>Pole of Collapsing</t>
  </si>
  <si>
    <t>Giant's Gloves</t>
  </si>
  <si>
    <t>Staff of Adornment</t>
  </si>
  <si>
    <t>Talking Doll (hand puppet flavor)</t>
  </si>
  <si>
    <t>Orb of Time</t>
  </si>
  <si>
    <t>Moon Touched Longsword</t>
  </si>
  <si>
    <t>Pot of Awakening</t>
  </si>
  <si>
    <t>Moontouched (Shortsword)</t>
  </si>
  <si>
    <t>Clothes of Mending (Waterbourne)</t>
  </si>
  <si>
    <t>Pipe of Smoke Monsters (Guardian)</t>
  </si>
  <si>
    <t>Orb of Direction</t>
  </si>
  <si>
    <t>Instrument of Scribing (War Leader)</t>
  </si>
  <si>
    <t>Clockwork Amulet (Key)</t>
  </si>
  <si>
    <t>Prosthetic Limb</t>
  </si>
  <si>
    <t>Talking Tankard</t>
  </si>
  <si>
    <t>Pipe of Smoke Monsters</t>
  </si>
  <si>
    <t xml:space="preserve">Chest of Preserving </t>
  </si>
  <si>
    <t>Shadowneedle</t>
  </si>
  <si>
    <t>Talking Doll (Dohwar Protector Plushie)</t>
  </si>
  <si>
    <t>Earing of Message</t>
  </si>
  <si>
    <t>Pole of collapsing (Delver)</t>
  </si>
  <si>
    <t>Wand of Conducting (Deep Speech)</t>
  </si>
  <si>
    <t>Orb of Direction (Delver)</t>
  </si>
  <si>
    <t>Dark Shard Amulet</t>
  </si>
  <si>
    <t>Sekolahian Worshipping Statuette</t>
  </si>
  <si>
    <t>Staff of Pyrotechnics</t>
  </si>
  <si>
    <t>Chest of Preserving (Bapar Ghalmrin's Imperishable Ark)</t>
  </si>
  <si>
    <t>Staff of Flowers</t>
  </si>
  <si>
    <t>Ruby of the Warmage (Sentinel Demons)</t>
  </si>
  <si>
    <t>Tankard of Sobriety (waterbourne)</t>
  </si>
  <si>
    <t>Dark Shard Amulet (Harmonious)</t>
  </si>
  <si>
    <t>Mystery Key</t>
  </si>
  <si>
    <t>Orb of Direction (Sentinel Undead)</t>
  </si>
  <si>
    <t>Pipe of Rememberance (Guardian)</t>
  </si>
  <si>
    <t>Chest of Preserving (Sentinel Undead)</t>
  </si>
  <si>
    <t>Instrument of Scribing</t>
  </si>
  <si>
    <t>Flute of Scribing</t>
  </si>
  <si>
    <t>Pipe of Rememberance (Temperate)</t>
  </si>
  <si>
    <t>Thermal Cube (Rashemi hot stone)</t>
  </si>
  <si>
    <t>Horn of Silent Alarm (Abyssal)</t>
  </si>
  <si>
    <t>Unbreakable Arrow (Compass)</t>
  </si>
  <si>
    <t>Cast-Off Plate Armor</t>
  </si>
  <si>
    <t>Pole of Collapsing (Delver)</t>
  </si>
  <si>
    <t>Orb of Time (Strange Material: Ironfell)</t>
  </si>
  <si>
    <t>Wand of Conducting (War Leader)</t>
  </si>
  <si>
    <t>Unbreakable Arrow</t>
  </si>
  <si>
    <t>Staff of Adornment (Guardian)</t>
  </si>
  <si>
    <t>Rope of Mending (strange material)</t>
  </si>
  <si>
    <t>Horn of Silent Alarm (guardian)</t>
  </si>
  <si>
    <t>Smoldering Armor (Plate)</t>
  </si>
  <si>
    <t>Pipes of Smoke Monsters (language: abyssal)</t>
  </si>
  <si>
    <t>Talking Doll (Song Craft, Clockwork Fox flavor)</t>
  </si>
  <si>
    <t>Hat of Wizardry (Language: Primordial)</t>
  </si>
  <si>
    <t>Enduring Spellbook (Language Primordial)</t>
  </si>
  <si>
    <t xml:space="preserve">Tankard of Sobriety </t>
  </si>
  <si>
    <t>Candle of the Deep (Beacon)</t>
  </si>
  <si>
    <t>Rope of Mending (Compass)</t>
  </si>
  <si>
    <t>Clothes of Mending (Suldusk Robes)</t>
  </si>
  <si>
    <t>Ear Horn of Hearing</t>
  </si>
  <si>
    <t>Pole of Collapsing (War Leader)</t>
  </si>
  <si>
    <t>Rope of Mending</t>
  </si>
  <si>
    <t>Tankard of Sobriety (Waterbourne)</t>
  </si>
  <si>
    <t>Armor of Gleaming (Halfplate, Strange Material: Clouds)</t>
  </si>
  <si>
    <t>Pole of Collapsing (Temperate)</t>
  </si>
  <si>
    <t>Ruby of the War Mage</t>
  </si>
  <si>
    <t>Clothes of Mending (Minor Illusion)</t>
  </si>
  <si>
    <t>Unique</t>
  </si>
  <si>
    <t>Plate +2 (DISADV Father Llymic)</t>
  </si>
  <si>
    <t>Mask of Rastol Shan (CoP +2)</t>
  </si>
  <si>
    <t>Time Dragon Scale</t>
  </si>
  <si>
    <t>Vicious Weapon +2 (Greataxe)</t>
  </si>
  <si>
    <t>Longsword +3 (Woe)</t>
  </si>
  <si>
    <t>Untradeable</t>
  </si>
  <si>
    <t>Manual of Bodily Health (Used)</t>
  </si>
  <si>
    <t>Tome of Leadership and Influence (Used)</t>
  </si>
  <si>
    <t>Manual of Quickness of Action (Used)</t>
  </si>
  <si>
    <t>Tome of Clear Thought (Used)</t>
  </si>
  <si>
    <t>Tome of Understanding (Used)</t>
  </si>
  <si>
    <t>Manual of Iron Golems (used)</t>
  </si>
  <si>
    <t>Manual of Iron Golems (Used)</t>
  </si>
  <si>
    <t>Storm Gem</t>
  </si>
  <si>
    <t>Gloves of Soul Catching</t>
  </si>
  <si>
    <t>Manual of Gainful Exercise (Used)</t>
  </si>
  <si>
    <t>Ziggathalamew</t>
  </si>
  <si>
    <t>Potion of Flying</t>
  </si>
  <si>
    <t>Potion of Supreme Healing</t>
  </si>
  <si>
    <t>Tablet of Reawakening</t>
  </si>
  <si>
    <t>Potion of Storm Giant Strength</t>
  </si>
  <si>
    <t>Scroll of Freedom of Movement</t>
  </si>
  <si>
    <t>Potion of Healing</t>
  </si>
  <si>
    <t>Scroll of Wish</t>
  </si>
  <si>
    <t>Potion of Speed</t>
  </si>
  <si>
    <t>Potion of Diminution</t>
  </si>
  <si>
    <t>Scroll of Greater Restoration</t>
  </si>
  <si>
    <t>Oil of Sharpness</t>
  </si>
  <si>
    <t>Cordial of Water Breathing</t>
  </si>
  <si>
    <t>potion of water breathing</t>
  </si>
  <si>
    <t>Potion of Climbing</t>
  </si>
  <si>
    <t>Potion of Superior Healing</t>
  </si>
  <si>
    <t xml:space="preserve">Potion of Vitality </t>
  </si>
  <si>
    <t>Potion of Hill Giant Strength</t>
  </si>
  <si>
    <t>Scroll of Animate Dead</t>
  </si>
  <si>
    <t>Poion of Vitality</t>
  </si>
  <si>
    <t>Potion of Greater Healing</t>
  </si>
  <si>
    <t>Scroll of Etherealness</t>
  </si>
  <si>
    <t>Potion of Animal Friendship</t>
  </si>
  <si>
    <t>Chromatic Rose - White</t>
  </si>
  <si>
    <t>Darkthorn Arrows (+2 arrows)</t>
  </si>
  <si>
    <t>Superior Healing Potion</t>
  </si>
  <si>
    <t>Scroll of Rope Trick</t>
  </si>
  <si>
    <t>Chime of Opening (5 charges)</t>
  </si>
  <si>
    <t>Potion of Vitality</t>
  </si>
  <si>
    <t>Spellwrought tattoo (Haste)</t>
  </si>
  <si>
    <t>Potion of Gaseous Form</t>
  </si>
  <si>
    <t>Deck of Miscleany</t>
  </si>
  <si>
    <t>Potion of Advantage</t>
  </si>
  <si>
    <t>Potion of Longevity</t>
  </si>
  <si>
    <t>Scroll of Mind Blank</t>
  </si>
  <si>
    <t>Four +3 Arrows</t>
  </si>
  <si>
    <t xml:space="preserve">Elixir of Health </t>
  </si>
  <si>
    <t>Potion of Fly</t>
  </si>
  <si>
    <t>Potion of Heroism</t>
  </si>
  <si>
    <t>12 x +2 Arrows</t>
  </si>
  <si>
    <t>Scroll of Stoneskin</t>
  </si>
  <si>
    <t>Scroll of Protection (Fiends)</t>
  </si>
  <si>
    <t xml:space="preserve">Potion of Cloud Giant Strength </t>
  </si>
  <si>
    <t>Potion superior healing</t>
  </si>
  <si>
    <t>Scroll of Sending</t>
  </si>
  <si>
    <t>Potion of Fire Giant Strength</t>
  </si>
  <si>
    <t>Dust of Dryness</t>
  </si>
  <si>
    <t>Chromatic Rose - Green</t>
  </si>
  <si>
    <t>Scroll of Comp Lang</t>
  </si>
  <si>
    <t>Scroll of Dispel Magic</t>
  </si>
  <si>
    <t>Emerald Elemental Gem</t>
  </si>
  <si>
    <t>Scroll of Air Bubble</t>
  </si>
  <si>
    <t>Potion of Fire Resistance</t>
  </si>
  <si>
    <t>Potion of Growth</t>
  </si>
  <si>
    <t>Scroll of Gate</t>
  </si>
  <si>
    <t>Four +3 Bolts</t>
  </si>
  <si>
    <t xml:space="preserve">Oil of Slipperiness </t>
  </si>
  <si>
    <t>Potion of Invulnerability</t>
  </si>
  <si>
    <t>Pixie Dust</t>
  </si>
  <si>
    <t>Scroll of mind blank</t>
  </si>
  <si>
    <t>Scoll of Heal</t>
  </si>
  <si>
    <t xml:space="preserve">Potion of Invulnerability </t>
  </si>
  <si>
    <t>Scroll of Fear</t>
  </si>
  <si>
    <t>Potion of climbing</t>
  </si>
  <si>
    <t>Scroll of Haste</t>
  </si>
  <si>
    <t>Scroll of Teleportation Circle</t>
  </si>
  <si>
    <t>Scroll of Enhance Ability</t>
  </si>
  <si>
    <t>Potion of Stone Giant Strength</t>
  </si>
  <si>
    <t>3 +1 bolts</t>
  </si>
  <si>
    <t>Scroll of Speak with Dead</t>
  </si>
  <si>
    <t>Chromatic Rose - Red</t>
  </si>
  <si>
    <t>Scroll of Enlarge/Reduce</t>
  </si>
  <si>
    <t>Potion of Lightning Resistance</t>
  </si>
  <si>
    <t>Scroll of Magic Circle</t>
  </si>
  <si>
    <t>Scrolls of Healing Word</t>
  </si>
  <si>
    <t>Arrow of Dragon Slaying</t>
  </si>
  <si>
    <t>Scroll of Wall of Force</t>
  </si>
  <si>
    <t>Smokepowder</t>
  </si>
  <si>
    <t xml:space="preserve">Potion of Growth </t>
  </si>
  <si>
    <t>Scroll of Crown of Madness</t>
  </si>
  <si>
    <t>Potion of Poison Resistance</t>
  </si>
  <si>
    <t>Scroll of Meteor Swarm</t>
  </si>
  <si>
    <t>Soverign Glue</t>
  </si>
  <si>
    <t>Dust of Corrosion</t>
  </si>
  <si>
    <t>scroll of heal</t>
  </si>
  <si>
    <t>Scroll of Raulothim's Psychic Lance</t>
  </si>
  <si>
    <t xml:space="preserve">Potion of Hill Giant Strength </t>
  </si>
  <si>
    <t>Scroll of Hold Person</t>
  </si>
  <si>
    <t>smokepowder (5)</t>
  </si>
  <si>
    <t>Scroll of Leomund's Tiny Hut</t>
  </si>
  <si>
    <t>Scroll of Grasping Vine</t>
  </si>
  <si>
    <t>Scroll of Stinking Cloud</t>
  </si>
  <si>
    <t>Scroll of Pass w/o Trace</t>
  </si>
  <si>
    <t>Chromatic Rose - Blue</t>
  </si>
  <si>
    <t>Elemental Gem (Blue Sapphire [Air])</t>
  </si>
  <si>
    <t>Scroll of Revivify</t>
  </si>
  <si>
    <t>Scroll of Protection from Evil and Good</t>
  </si>
  <si>
    <t>Scroll of Disguise Self</t>
  </si>
  <si>
    <t>Scroll of Magic Mouth</t>
  </si>
  <si>
    <t>Scroll of Sinnoc's Snowball Swarm</t>
  </si>
  <si>
    <t>Scroll of Shatter</t>
  </si>
  <si>
    <t>Keoghtom's Ointment</t>
  </si>
  <si>
    <t>Scroll of Sleep</t>
  </si>
  <si>
    <t>Scroll of Delayed Blast Fireball</t>
  </si>
  <si>
    <t>Universal Solvent</t>
  </si>
  <si>
    <t>potion of speed</t>
  </si>
  <si>
    <t>Smokepowder (5)</t>
  </si>
  <si>
    <t>Keoghtom's Onitment x4</t>
  </si>
  <si>
    <t>Scroll of Conjure Minor Elementals</t>
  </si>
  <si>
    <t xml:space="preserve">Unique mixed potion of speed and invulnerability </t>
  </si>
  <si>
    <t>Scroll of Invisibility</t>
  </si>
  <si>
    <t>Scroll of Etheralness</t>
  </si>
  <si>
    <t>Chromatic Rose - Black</t>
  </si>
  <si>
    <t>Gem of Brightness</t>
  </si>
  <si>
    <t>Scroll of Hypnotic Pattern</t>
  </si>
  <si>
    <t>Potion of Poison</t>
  </si>
  <si>
    <t>Scroll of Firebolt</t>
  </si>
  <si>
    <t>Dust of Disappearance</t>
  </si>
  <si>
    <t>Scroll of Protection from Poison</t>
  </si>
  <si>
    <t>Scroll of Armor of Agathys</t>
  </si>
  <si>
    <t>Spellwrought Tattoo of Speak with Animals</t>
  </si>
  <si>
    <t>Scroll of Telepathy</t>
  </si>
  <si>
    <t>Bag of Beans x3</t>
  </si>
  <si>
    <t>Scroll of Guardian of Nature</t>
  </si>
  <si>
    <t>Spell Scroll of Globe of Invulnerability</t>
  </si>
  <si>
    <t xml:space="preserve">Scroll of Revivify </t>
  </si>
  <si>
    <t>Scroll of Ashardalon's Stride</t>
  </si>
  <si>
    <t>Oil of Etherealness</t>
  </si>
  <si>
    <t>Scroll of Holy Weapon</t>
  </si>
  <si>
    <t>Potion of Mind Control Beasts</t>
  </si>
  <si>
    <t>Scroll of Conjure Animals</t>
  </si>
  <si>
    <t>Potion of Waterbreathing</t>
  </si>
  <si>
    <t>Potion of lightning resistance</t>
  </si>
  <si>
    <t>Scroll of Animal Friendship</t>
  </si>
  <si>
    <t xml:space="preserve">Oil of Sliperiness </t>
  </si>
  <si>
    <t>scroll of cloud of daggers</t>
  </si>
  <si>
    <t>Spellwrought tattoo (misty step)</t>
  </si>
  <si>
    <t>Scroll of Arms of Hadar</t>
  </si>
  <si>
    <t>Potion of Cloud Giant Strength</t>
  </si>
  <si>
    <t>Scroll of Sunburst</t>
  </si>
  <si>
    <t>Scroll of Cone of Cold</t>
  </si>
  <si>
    <t>Scroll of Protection from Aberrations</t>
  </si>
  <si>
    <t>Spellwrought Tattoo: Holy Weapon</t>
  </si>
  <si>
    <t xml:space="preserve">Potion of Advantage </t>
  </si>
  <si>
    <t>Scroll of Danse Macabre</t>
  </si>
  <si>
    <t>Potion of Mind Reading</t>
  </si>
  <si>
    <t>Scroll of Geas</t>
  </si>
  <si>
    <t>4 +1 Crossbow Bolts</t>
  </si>
  <si>
    <t>Subtle Mind Crystal</t>
  </si>
  <si>
    <t>Potion of Polychromy</t>
  </si>
  <si>
    <t>Scroll of Protection from Undead</t>
  </si>
  <si>
    <t xml:space="preserve">Dust of Corrosion </t>
  </si>
  <si>
    <t>scroll of vampiric touch</t>
  </si>
  <si>
    <t>Scroll of Identify</t>
  </si>
  <si>
    <t>Spellwrought Tattoo: Feather Fall</t>
  </si>
  <si>
    <t>Scroll of Arcane Eye</t>
  </si>
  <si>
    <t>Scroll of Raise Dead</t>
  </si>
  <si>
    <t>8th Level Spell Scroll of Telepathy</t>
  </si>
  <si>
    <t>Scroll of Regeneration</t>
  </si>
  <si>
    <t xml:space="preserve">Scroll of Forbidence </t>
  </si>
  <si>
    <t xml:space="preserve">Potion of Longevity </t>
  </si>
  <si>
    <t>Elixir of Health</t>
  </si>
  <si>
    <t>Scroll of Erupting Earth</t>
  </si>
  <si>
    <t>Scroll of nondetection</t>
  </si>
  <si>
    <t>Scroll of Summon Shadowspawn</t>
  </si>
  <si>
    <t>Scroll of Ice Knife</t>
  </si>
  <si>
    <t>Scroll of Move Earth</t>
  </si>
  <si>
    <t>Scroll of Tiny Servant</t>
  </si>
  <si>
    <t>potion of advantage</t>
  </si>
  <si>
    <t>Oil of Slipperiness</t>
  </si>
  <si>
    <t>Scroll of Evard's Black Tentacles</t>
  </si>
  <si>
    <t>Elemental Gem (Emerald)</t>
  </si>
  <si>
    <t>Scroll of Teleport</t>
  </si>
  <si>
    <t>Potion of Invisibility</t>
  </si>
  <si>
    <t>Potion of Poison Breath</t>
  </si>
  <si>
    <t xml:space="preserve">Oil of Etherealness </t>
  </si>
  <si>
    <t>Scroll of Resurection</t>
  </si>
  <si>
    <t>Scroll of Creation</t>
  </si>
  <si>
    <t xml:space="preserve">Potion of Invisibility </t>
  </si>
  <si>
    <t>Quaal's Feather Token (Fan)</t>
  </si>
  <si>
    <t>Potion of Fire Breath</t>
  </si>
  <si>
    <t>Deck of Illusions</t>
  </si>
  <si>
    <t>Scroll of Dimension Door</t>
  </si>
  <si>
    <t>Scroll of Absorb Elements</t>
  </si>
  <si>
    <t>Scroll of Mending</t>
  </si>
  <si>
    <t>Smokepowder 5</t>
  </si>
  <si>
    <t>Scroll of Fireball</t>
  </si>
  <si>
    <t>Potion of Diminuation</t>
  </si>
  <si>
    <t>potion of force resistance</t>
  </si>
  <si>
    <t>Scroll of Bane</t>
  </si>
  <si>
    <t>Scroll of Legend Lore</t>
  </si>
  <si>
    <t>Scroll of Clairvoyance</t>
  </si>
  <si>
    <t>Scroll of Antimagic Field</t>
  </si>
  <si>
    <t>8th Level Spell Scroll of clone</t>
  </si>
  <si>
    <t>Six +3 Arrows</t>
  </si>
  <si>
    <t>Scroll of Mass Cure Wounds</t>
  </si>
  <si>
    <t>Necklace of Fireballs</t>
  </si>
  <si>
    <t>Scroll of Antilife Shell</t>
  </si>
  <si>
    <t>Elemental Gem (Yellow Diamond [Earth])</t>
  </si>
  <si>
    <t>Spellwrought Tattoo (haste)</t>
  </si>
  <si>
    <t>Necklace of Fireballs (7 beads)</t>
  </si>
  <si>
    <t>Scroll of Scrying</t>
  </si>
  <si>
    <t>Potion of Watchful Rest</t>
  </si>
  <si>
    <t>Scroll of Project Image</t>
  </si>
  <si>
    <t>Scroll of Death Ward</t>
  </si>
  <si>
    <t>Scroll of Summon Fiend</t>
  </si>
  <si>
    <t xml:space="preserve">Scroll of Conjure Minor Elementals </t>
  </si>
  <si>
    <t>Scroll of Blight</t>
  </si>
  <si>
    <t>Scroll of Dominate Monster</t>
  </si>
  <si>
    <t>Scroll of Tiny Hut</t>
  </si>
  <si>
    <t>Mind Crystal (Careful)</t>
  </si>
  <si>
    <t>Spellwrought Tattoo of Thunder Step</t>
  </si>
  <si>
    <t>Spell Scroll of Fly</t>
  </si>
  <si>
    <t>Potion of Resistance (Necrotic)</t>
  </si>
  <si>
    <t>5 +2 Crossbow Bolts</t>
  </si>
  <si>
    <t>Potion of Psionic Fortitude</t>
  </si>
  <si>
    <t>Scroll of Summon Undead</t>
  </si>
  <si>
    <t>Scroll of Wall of Thorns</t>
  </si>
  <si>
    <t>Scroll of Mass Heal</t>
  </si>
  <si>
    <t>Scroll of Wall of Ice</t>
  </si>
  <si>
    <t>Quaal's Feather Token (Whip)</t>
  </si>
  <si>
    <t>Keoghtom's Ointment 2</t>
  </si>
  <si>
    <t>Scroll of Tongues</t>
  </si>
  <si>
    <t>Scroll Revivify</t>
  </si>
  <si>
    <t>Scroll of Comet</t>
  </si>
  <si>
    <t xml:space="preserve">Potion of Greater Healing </t>
  </si>
  <si>
    <t>Scroll of Feather Fall</t>
  </si>
  <si>
    <t>Scroll of Swift Quiver</t>
  </si>
  <si>
    <t>Potion Superior Healing</t>
  </si>
  <si>
    <t>Potion of Resistance Fire</t>
  </si>
  <si>
    <t>Bag of Beans 3</t>
  </si>
  <si>
    <t>Spell Scroll of Water Breathing</t>
  </si>
  <si>
    <t>Spellwrought tattoo of gaseous form</t>
  </si>
  <si>
    <t>Gem of Bightness</t>
  </si>
  <si>
    <t>Potion of Frost Giant Strength</t>
  </si>
  <si>
    <t>Bead of Force</t>
  </si>
  <si>
    <t>Scroll of Heal</t>
  </si>
  <si>
    <t>Scroll of Protection (Plants)</t>
  </si>
  <si>
    <t>Potion of Giant Size</t>
  </si>
  <si>
    <t>Scroll of Tarrasque Summoning</t>
  </si>
  <si>
    <t>Scroll of Steel Wind Strike</t>
  </si>
  <si>
    <t>Keoghtom's Ointment (4 Doses)</t>
  </si>
  <si>
    <t>potion of supreme healing</t>
  </si>
  <si>
    <t>Scroll of Suggestion</t>
  </si>
  <si>
    <t>Scroll of Circle of Death</t>
  </si>
  <si>
    <t>Scroll of Protection from Fiends</t>
  </si>
  <si>
    <t>Scroll of Blur</t>
  </si>
  <si>
    <t>Scroll of Contingency</t>
  </si>
  <si>
    <t>Scroll of Locate Object</t>
  </si>
  <si>
    <t>Potion of Clairvoyance</t>
  </si>
  <si>
    <t xml:space="preserve">Scroll of Maelstrom </t>
  </si>
  <si>
    <t xml:space="preserve">Potion of Bottled Breadth </t>
  </si>
  <si>
    <t>Mind Crystal (Empowered)</t>
  </si>
  <si>
    <t>Scroll of Mass Healing Word</t>
  </si>
  <si>
    <t>Scroll of Magic Weapon</t>
  </si>
  <si>
    <t>Spellwrought Tattoo of Locate Object</t>
  </si>
  <si>
    <t xml:space="preserve">Scroll of Resurrection </t>
  </si>
  <si>
    <t>Scroll of Mislead</t>
  </si>
  <si>
    <t>Scroll of Investiture of Wind</t>
  </si>
  <si>
    <t>Scroll of Daylight</t>
  </si>
  <si>
    <t>Potion of Water Breathing</t>
  </si>
  <si>
    <t>Spellwrought Tattoo of Clairvoyance</t>
  </si>
  <si>
    <t>Scroll of Illusionary Dragon</t>
  </si>
  <si>
    <t xml:space="preserve">Scroll of Blade Barrier </t>
  </si>
  <si>
    <t>Scroll of Remove Curse</t>
  </si>
  <si>
    <t>6 +2 Arrows</t>
  </si>
  <si>
    <t xml:space="preserve">Scroll of Ray of Enfeeblement </t>
  </si>
  <si>
    <t>Scroll of Astral Projection</t>
  </si>
  <si>
    <t>Scroll of Symbol</t>
  </si>
  <si>
    <t>Mind Crystal (Subtle)</t>
  </si>
  <si>
    <t>Scroll of Darkvision</t>
  </si>
  <si>
    <t xml:space="preserve">Potion of Fire Giant Strength </t>
  </si>
  <si>
    <t>Scroll of Life Transference</t>
  </si>
  <si>
    <t>Scroll of Lesser Restoration</t>
  </si>
  <si>
    <t>Scroll of Maddening Darkness</t>
  </si>
  <si>
    <t xml:space="preserve">Scroll of Synaptic Static </t>
  </si>
  <si>
    <t>Scroll of Protection (Elementals)</t>
  </si>
  <si>
    <t>Scroll of Destructive Wave</t>
  </si>
  <si>
    <t>Mind Crystal (Extended)</t>
  </si>
  <si>
    <t>Mind Crystal (Quickened)</t>
  </si>
  <si>
    <t>Scroll of Bestow Curse</t>
  </si>
  <si>
    <t>Scroll of Dispel Evil and Good</t>
  </si>
  <si>
    <t>Scroll of Protection (Fey)</t>
  </si>
  <si>
    <t>Scroll of Crusader's Mantle</t>
  </si>
  <si>
    <t>Mind Crystal (Heightened)</t>
  </si>
  <si>
    <t>Potion of Cold Resistance</t>
  </si>
  <si>
    <t>Scroll of Dream</t>
  </si>
  <si>
    <t>Spell scroll of greater restoration</t>
  </si>
  <si>
    <t>Potion of Comprehension</t>
  </si>
  <si>
    <t>Potion of Resistance (Poison)</t>
  </si>
  <si>
    <t>Quaal's Feather Token (Tree)</t>
  </si>
  <si>
    <t>Scroll of Comprehend Languages</t>
  </si>
  <si>
    <t>Scroll of Thunderwave</t>
  </si>
  <si>
    <t>Scroll of Blindness Deafness</t>
  </si>
  <si>
    <t>Scroll of Rary's Telepathic Bond</t>
  </si>
  <si>
    <t>Potion of vitality</t>
  </si>
  <si>
    <t xml:space="preserve">Potion of Dragon's Majesty </t>
  </si>
  <si>
    <t>Potion of Protection from Poison</t>
  </si>
  <si>
    <t>Potion of Pugilism</t>
  </si>
  <si>
    <t>Scroll of Lessor Restoration</t>
  </si>
  <si>
    <t>Potion of mind control (monster)</t>
  </si>
  <si>
    <t>Potion of Dimuation</t>
  </si>
  <si>
    <t>Potion of Psychic Resistance</t>
  </si>
  <si>
    <t>Spell Scroll of Disintegrate</t>
  </si>
  <si>
    <t>7 Beads of Force</t>
  </si>
  <si>
    <t>Scroll of Sniloc's Snowball Swarm</t>
  </si>
  <si>
    <t>Spellwrought Tattoo (Haste)</t>
  </si>
  <si>
    <t>Scroll of Charm Person</t>
  </si>
  <si>
    <t>Arrows +3 (bundle of 4)</t>
  </si>
  <si>
    <t>Potion of heroism</t>
  </si>
  <si>
    <t>Scroll of Synaptic Static</t>
  </si>
  <si>
    <t>Spell Scroll of Word of Recall</t>
  </si>
  <si>
    <t>Potion of Dragon's Majesty (Red)</t>
  </si>
  <si>
    <t>6 Beads of Force</t>
  </si>
  <si>
    <t>Scroll of Contact Other Plane</t>
  </si>
  <si>
    <t>Elemental Gem (Yellow Diamond)</t>
  </si>
  <si>
    <t>Scroll of Cure Wounds</t>
  </si>
  <si>
    <t>Scroll of Beacon of Hope</t>
  </si>
  <si>
    <t>Potion of giant size</t>
  </si>
  <si>
    <t>Scroll of Power Word Stun</t>
  </si>
  <si>
    <t xml:space="preserve">Potion of Longivity </t>
  </si>
  <si>
    <t>Scroll of Detect Magic</t>
  </si>
  <si>
    <t>Spellwrought Tattoo Mass Healing Word</t>
  </si>
  <si>
    <t>Potion of Invisability</t>
  </si>
  <si>
    <t>Scroll of Snilloc's Snowball Swarm</t>
  </si>
  <si>
    <t>Scroll of Tidal Wave</t>
  </si>
  <si>
    <t>Scroll of Demiplane</t>
  </si>
  <si>
    <t>Scroll of False Life</t>
  </si>
  <si>
    <t>Scroll of Power Word Pain</t>
  </si>
  <si>
    <t>Scroll of Protection from Energy</t>
  </si>
  <si>
    <t>Potion of Radiant Resistance</t>
  </si>
  <si>
    <t>Necklace of Fireballs (9 beads)</t>
  </si>
  <si>
    <t>Scroll of Forbiddence</t>
  </si>
  <si>
    <t>Scroll of Prayer of Healing</t>
  </si>
  <si>
    <t>Scroll of Protection from Fey</t>
  </si>
  <si>
    <t>Arrow of Giant Slaying</t>
  </si>
  <si>
    <t>Potion of Firebreath</t>
  </si>
  <si>
    <t>Scroll of Forcecage</t>
  </si>
  <si>
    <t>Keoghtom's Ointment 5</t>
  </si>
  <si>
    <t>Arrows, +1 (x20)</t>
  </si>
  <si>
    <t>Scroll of Fizban's Platinum Shield</t>
  </si>
  <si>
    <t>Spell Scroll of Enhance Ability</t>
  </si>
  <si>
    <t>Scroll of Reverse Gravity</t>
  </si>
  <si>
    <t>Scroll of Resilient Sphere</t>
  </si>
  <si>
    <t>Scroll of Ray of Enfeeblement</t>
  </si>
  <si>
    <t>Scroll of Sunbeam</t>
  </si>
  <si>
    <t>spell scroll of resurrection</t>
  </si>
  <si>
    <t>Spell Scroll of Forcecage</t>
  </si>
  <si>
    <t xml:space="preserve">Dust of Disappearence </t>
  </si>
  <si>
    <t>Scroll of Chain Lightning</t>
  </si>
  <si>
    <t>Scroll of Greater Invisibility</t>
  </si>
  <si>
    <t>Spell Scroll of Antilife Shell</t>
  </si>
  <si>
    <t>Scroll of Nondetection</t>
  </si>
  <si>
    <t>Scroll of Plane Shift</t>
  </si>
  <si>
    <t>Scroll of Resurrection</t>
  </si>
  <si>
    <t>Scroll of Flesh to Stone</t>
  </si>
  <si>
    <t>Spell Scroll of Programmed Illusion</t>
  </si>
  <si>
    <t>Scroll of Polymorph</t>
  </si>
  <si>
    <t>Scroll of Melf's Minute Meteors</t>
  </si>
  <si>
    <t>Scroll of Otto's Irresistible Dance</t>
  </si>
  <si>
    <t>Scroll of Sequester</t>
  </si>
  <si>
    <t>Crossbow Bolts, +1 (x11)</t>
  </si>
  <si>
    <t>Scroll of Regenerate</t>
  </si>
  <si>
    <t>Spell Scroll of Simulacrum</t>
  </si>
  <si>
    <t>Scroll of Thunder Step</t>
  </si>
  <si>
    <t>11 Arrows +1</t>
  </si>
  <si>
    <t>Scroll of Mass Suggestion</t>
  </si>
  <si>
    <t>Glowrune Pigment</t>
  </si>
  <si>
    <t>Chime of Opening (10 charges)</t>
  </si>
  <si>
    <t>Scroll of Sleet Storm</t>
  </si>
  <si>
    <t>Keoghtom's Ointment (4)</t>
  </si>
  <si>
    <t>Scroll of Wall of Water</t>
  </si>
  <si>
    <t>Scroll of Aura of Vitality</t>
  </si>
  <si>
    <t>Scroll of Flamestrike</t>
  </si>
  <si>
    <t>Dust of Dryness (9 pinches)</t>
  </si>
  <si>
    <t>Scroll of Gust of Wind</t>
  </si>
  <si>
    <t>Quaal's Feather Token (Bird)</t>
  </si>
  <si>
    <t>Dust of Sneezing and Choking</t>
  </si>
  <si>
    <t>Scroll of Wall of Stone</t>
  </si>
  <si>
    <t>Scroll of Flame Strike</t>
  </si>
  <si>
    <t>Scroll of Simulacrum</t>
  </si>
  <si>
    <t>Scroll of Fly</t>
  </si>
  <si>
    <t>Elemental Gem (Emerald [Water])</t>
  </si>
  <si>
    <t>Scroll of Banshment</t>
  </si>
  <si>
    <t>Scroll of Programmed Illusion</t>
  </si>
  <si>
    <t>Spellwrought Tattoo of Guidance (Guardian)</t>
  </si>
  <si>
    <t>Elemental Gem (Red Corundum [Fire])</t>
  </si>
  <si>
    <t>Scroll of Sickening Radiance</t>
  </si>
  <si>
    <t>Potion of Resistance (Radiant)</t>
  </si>
  <si>
    <t>Scroll of Fire Shield</t>
  </si>
  <si>
    <t>Spellwrought Tattoo of Reincarnate</t>
  </si>
  <si>
    <t>Spellwrought Tattoo of Death Ward</t>
  </si>
  <si>
    <t>Keoghtom's Ointment (5 Doses)</t>
  </si>
  <si>
    <t>Scroll of Banishment</t>
  </si>
  <si>
    <t>Spellwrought tattoo of legend lore</t>
  </si>
  <si>
    <t>Scroll of skill empowerment</t>
  </si>
  <si>
    <t>Nolzur's Marvelous Pigments (4 pots)</t>
  </si>
  <si>
    <t>Dust of dryness</t>
  </si>
  <si>
    <t>Arrows +3 (bundle of 6)</t>
  </si>
  <si>
    <t>Potion of Mind Control Monster</t>
  </si>
  <si>
    <t xml:space="preserve">Candy of Enhance Ability </t>
  </si>
  <si>
    <t>Potion of growth</t>
  </si>
  <si>
    <t>Scroll of Grasping Fine</t>
  </si>
  <si>
    <t>Smokepowder x5</t>
  </si>
  <si>
    <t>Scroll of Major Image</t>
  </si>
  <si>
    <t>Spellwrought tattoo of Enlarge</t>
  </si>
  <si>
    <t>Potion of Mind Control Humanoids</t>
  </si>
  <si>
    <t xml:space="preserve">Scroll of Sunbeam </t>
  </si>
  <si>
    <t>Potion of Dragon's Majesty (Blue)</t>
  </si>
  <si>
    <t>Necklace of Fireballs (8 beads)</t>
  </si>
  <si>
    <t>Potion of Protection Against Fiends</t>
  </si>
  <si>
    <t xml:space="preserve">Potion of Necrotic Resistance </t>
  </si>
  <si>
    <t>Potion of Acid Resistance</t>
  </si>
  <si>
    <t>Scroll of Waterbreathing</t>
  </si>
  <si>
    <t xml:space="preserve">Dust of Disappearance </t>
  </si>
  <si>
    <t>Scroll of Maelstrom</t>
  </si>
  <si>
    <t>Spellwrought Tattoo (Druidcraft)</t>
  </si>
  <si>
    <t>Scroll of Aganazzar's Scorcher</t>
  </si>
  <si>
    <t>Scroll of Tree Stride</t>
  </si>
  <si>
    <t>Scroll of Tasha's Hideous Laughter</t>
  </si>
  <si>
    <t>Scroll of Create Spelljamming Helm</t>
  </si>
  <si>
    <t>Scroll of Planeshift</t>
  </si>
  <si>
    <t>Potion of Mind Control (Fire Giant)</t>
  </si>
  <si>
    <t>Scroll of Immolation</t>
  </si>
  <si>
    <t>Potion of Mind Control (Frost Giant)</t>
  </si>
  <si>
    <t>Deck of Miscellany (4 &amp; 8 Diamonds and % of Hearts)</t>
  </si>
  <si>
    <t>Potion of Mind Control (Hill Giant)</t>
  </si>
  <si>
    <t>Scroll of Nathair's Mischief</t>
  </si>
  <si>
    <t>Potion of Mind Control (Mammal)</t>
  </si>
  <si>
    <t>Scroll of Protection Against Fey</t>
  </si>
  <si>
    <t>Potion of Resistance (Fire)</t>
  </si>
  <si>
    <t>Potion of Resistance (Force)</t>
  </si>
  <si>
    <t>Scroll of Melf's Acid Arrow</t>
  </si>
  <si>
    <t>Potion of Resistance (Psychic)</t>
  </si>
  <si>
    <t>Scroll of Bigby's Hand</t>
  </si>
  <si>
    <t>Spellwrought Tattoo (Create Spelljamming Helm)</t>
  </si>
  <si>
    <t>Scroll of Nystul's Magic Aura</t>
  </si>
  <si>
    <t>Scroll of Otiluke's Resilient Sphere</t>
  </si>
  <si>
    <t>Scroll of Tensor's Floating Disc</t>
  </si>
  <si>
    <t>Scroll of Protection (Lycanthopes / Cursed)</t>
  </si>
  <si>
    <t>Scroll of Tasha's Caustic Brew</t>
  </si>
  <si>
    <t>Spell Scrol of Snare</t>
  </si>
  <si>
    <t xml:space="preserve">Scroll of Project Image </t>
  </si>
  <si>
    <t>Spell Scroll of Air Bubble</t>
  </si>
  <si>
    <t>Spell Scroll of Animate Dead</t>
  </si>
  <si>
    <t>Spell Scroll of Armor of Agathys</t>
  </si>
  <si>
    <t>Spell Scroll of Beast Bond</t>
  </si>
  <si>
    <t>Spell Scroll of Bless</t>
  </si>
  <si>
    <t>Spell Scroll of Cause Fear</t>
  </si>
  <si>
    <t>Potion of Dragon Majesty (blue)</t>
  </si>
  <si>
    <t>Scroll of Slow</t>
  </si>
  <si>
    <t>Spell Scroll of Command</t>
  </si>
  <si>
    <t>Spell Scroll of Cure Wounds (3rd Level)</t>
  </si>
  <si>
    <t>Spell Scroll of Cure Wounds (4th level)</t>
  </si>
  <si>
    <t>Spell Scroll of Darkness</t>
  </si>
  <si>
    <t>Spell Scroll of Dawn</t>
  </si>
  <si>
    <t>Spell Scroll of Death Ward</t>
  </si>
  <si>
    <t>Spell Scroll of Delayed Blast Fireball</t>
  </si>
  <si>
    <t>Spell Scroll of Detect Thoughts</t>
  </si>
  <si>
    <t>Spell Scroll of Divine Word</t>
  </si>
  <si>
    <t>Spell Scroll of Dominate Monster</t>
  </si>
  <si>
    <t>Spell Scroll of Ensnaring Strike</t>
  </si>
  <si>
    <t>Spell Scroll of Enthrall</t>
  </si>
  <si>
    <t>Spell Scroll of Finger of Death</t>
  </si>
  <si>
    <t>Spell Scroll of Freedom of Movement</t>
  </si>
  <si>
    <t>Spell Scroll of Gate</t>
  </si>
  <si>
    <t>Spell Scroll of Greater Restoration</t>
  </si>
  <si>
    <t>Spell Scroll of Green Flame Blade</t>
  </si>
  <si>
    <t>Spell Scroll of Holy Weapon</t>
  </si>
  <si>
    <t>Scroll of Incendiary Cloud</t>
  </si>
  <si>
    <t>Spell Scroll of Hypnotic Pattern</t>
  </si>
  <si>
    <t>Spell Scroll of Illusory Dragon</t>
  </si>
  <si>
    <t>Arrow +3</t>
  </si>
  <si>
    <t>Spell Scroll of Mass Cure Wounds</t>
  </si>
  <si>
    <t>Spell Scroll of Mind Blank</t>
  </si>
  <si>
    <t>Spell Scroll of Nathair's Mischief</t>
  </si>
  <si>
    <t>Spell Scroll of Plane Shift</t>
  </si>
  <si>
    <t>Spell Scroll of Power Word Stun</t>
  </si>
  <si>
    <t>Spell Scroll of Raise Dead</t>
  </si>
  <si>
    <t>Spell Scroll of Sacred Flame</t>
  </si>
  <si>
    <t>Spell Scroll of Shape Water</t>
  </si>
  <si>
    <t>Spell Scroll of Summon Draconic Spirit</t>
  </si>
  <si>
    <t>Spell Scroll of Summon Lesser Demons</t>
  </si>
  <si>
    <t>Spell Scroll of Sunburst</t>
  </si>
  <si>
    <t>Spell Scroll of Symbol</t>
  </si>
  <si>
    <t>Spell Scroll of Teleport</t>
  </si>
  <si>
    <t>Spell Scroll of Thorn Whip</t>
  </si>
  <si>
    <t>Spell Scroll of Tongues</t>
  </si>
  <si>
    <t>Spell Scroll of True Seeing</t>
  </si>
  <si>
    <t>Spell Scroll of True Strike</t>
  </si>
  <si>
    <t>Spell Scroll of Wall of Force</t>
  </si>
  <si>
    <t>Spell Scroll of Zone of Truth</t>
  </si>
  <si>
    <t>Spellcasting Bolt of Blinding</t>
  </si>
  <si>
    <t>Spellcasting Bolt of Holding</t>
  </si>
  <si>
    <t>Spellcasting Bolt of Vapors</t>
  </si>
  <si>
    <t>Spellwrought Tattoo of Ashardalon's Stride</t>
  </si>
  <si>
    <t>Deck of Miscellany (3 cards)</t>
  </si>
  <si>
    <t>Blessings</t>
  </si>
  <si>
    <t>Charms</t>
  </si>
  <si>
    <t>Wish Resistances</t>
  </si>
  <si>
    <t>Epic Boons</t>
  </si>
  <si>
    <t>Fleshwarping</t>
  </si>
  <si>
    <t>Health</t>
  </si>
  <si>
    <t>Protection</t>
  </si>
  <si>
    <t>Magic Resist</t>
  </si>
  <si>
    <t>Understanding</t>
  </si>
  <si>
    <t>Valhalla</t>
  </si>
  <si>
    <t>Weapon Enhance</t>
  </si>
  <si>
    <t>Wound Closure</t>
  </si>
  <si>
    <t>Animal Conjuring</t>
  </si>
  <si>
    <t>Darkvision</t>
  </si>
  <si>
    <t>Feather Falling</t>
  </si>
  <si>
    <t>Heroism</t>
  </si>
  <si>
    <t>Restoration</t>
  </si>
  <si>
    <t>Slayer</t>
  </si>
  <si>
    <t>Vitality</t>
  </si>
  <si>
    <t>Moon</t>
  </si>
  <si>
    <t>Euryale</t>
  </si>
  <si>
    <t>acid</t>
  </si>
  <si>
    <t>bludgeoning</t>
  </si>
  <si>
    <t>cold</t>
  </si>
  <si>
    <t>fire</t>
  </si>
  <si>
    <t>force</t>
  </si>
  <si>
    <t>lightning</t>
  </si>
  <si>
    <t>necrotic</t>
  </si>
  <si>
    <t>piercing</t>
  </si>
  <si>
    <t>poison</t>
  </si>
  <si>
    <t>psychic</t>
  </si>
  <si>
    <t>radiant</t>
  </si>
  <si>
    <t>slashing</t>
  </si>
  <si>
    <t>thunder</t>
  </si>
  <si>
    <t>Combat Prowess</t>
  </si>
  <si>
    <t>Dimensional Travel</t>
  </si>
  <si>
    <t>Fate</t>
  </si>
  <si>
    <t>Fortitude</t>
  </si>
  <si>
    <t>High Magic</t>
  </si>
  <si>
    <t>Immortality</t>
  </si>
  <si>
    <t>Invincibility</t>
  </si>
  <si>
    <t>Irresistible Offense</t>
  </si>
  <si>
    <t>Luck</t>
  </si>
  <si>
    <t>Magic Resistance</t>
  </si>
  <si>
    <t>Peerless Aim</t>
  </si>
  <si>
    <t>Perfect Health</t>
  </si>
  <si>
    <t>Planar Travel</t>
  </si>
  <si>
    <t>Quick Casting</t>
  </si>
  <si>
    <t>Recovery</t>
  </si>
  <si>
    <t>Resilience</t>
  </si>
  <si>
    <t>Skill Proficiency</t>
  </si>
  <si>
    <t>Speed</t>
  </si>
  <si>
    <t>Spell Mastery</t>
  </si>
  <si>
    <t>Spell Recall</t>
  </si>
  <si>
    <t>Fire Soul</t>
  </si>
  <si>
    <t>Night Spirit</t>
  </si>
  <si>
    <t>Stormborn</t>
  </si>
  <si>
    <t>Unfettered</t>
  </si>
  <si>
    <t>Truesight</t>
  </si>
  <si>
    <t>Undetectability</t>
  </si>
  <si>
    <t>Hecatomb</t>
  </si>
  <si>
    <t>DDAL00-01</t>
  </si>
  <si>
    <t>BMG-DRWEP-OD-04 - Battle of Thaymount</t>
  </si>
  <si>
    <t>PS-DC-AUG-02</t>
  </si>
  <si>
    <t>PS-DC-AUG-01</t>
  </si>
  <si>
    <t>DMM</t>
  </si>
  <si>
    <t>DiA</t>
  </si>
  <si>
    <t>PS-DC-EDG-01</t>
  </si>
  <si>
    <t>PS-DC-CEG-02</t>
  </si>
  <si>
    <t>PS-DC-RAVENGARD-V</t>
  </si>
  <si>
    <t>Wedding</t>
  </si>
  <si>
    <t>DRW-OD-07</t>
  </si>
  <si>
    <t>Second Head</t>
  </si>
  <si>
    <t>DDEP8-03 Genie Wish</t>
  </si>
  <si>
    <t>SJ-DC-DEATH In Defiance of Dairy</t>
  </si>
  <si>
    <t>120 ft Darkvision</t>
  </si>
  <si>
    <t>F&amp;D</t>
  </si>
  <si>
    <t>FR-DC-LIGA-06</t>
  </si>
  <si>
    <t>FR-DC-Death Debilitiating Dairy</t>
  </si>
  <si>
    <t>PS-DC-ELEMENT-DEATH-02 And Then They Attacked</t>
  </si>
  <si>
    <t>FR-DC-RWIE-03 Circus Berserkus</t>
  </si>
  <si>
    <t>Craig Twoskull in DDEP7-02 Drums of the Dead</t>
  </si>
  <si>
    <t>PS-DC-MIKE-01 The Clash for the Multiversal Championship</t>
  </si>
  <si>
    <t>PS-DC-NOS-02 Broken Yet Unbowed</t>
  </si>
  <si>
    <t>PS</t>
  </si>
  <si>
    <t>LIGA-01</t>
  </si>
  <si>
    <t>FR-DC-LIGA-01</t>
  </si>
  <si>
    <t>FR-DC-LIGA-03</t>
  </si>
  <si>
    <t>PS-DC-PKL-11</t>
  </si>
  <si>
    <t>PS-DC-PKL-14</t>
  </si>
  <si>
    <t>PS-DC-MAR-02 Planes, Trains, &amp; Automatons</t>
  </si>
  <si>
    <t>PS-DC-MAR-01 Death, Taxes, and Maruts</t>
  </si>
  <si>
    <t>SJ</t>
  </si>
  <si>
    <t>DDHC5-SKT-Ch4 The Chosen Path</t>
  </si>
  <si>
    <t>Phlan</t>
  </si>
  <si>
    <t>Table I</t>
  </si>
  <si>
    <t>Breastplate, +2</t>
  </si>
  <si>
    <t>Grey Robe of the Archmagi</t>
  </si>
  <si>
    <t>Cloak of Invisiblity</t>
  </si>
  <si>
    <t>Robe of the Archmagi</t>
  </si>
  <si>
    <t>Half-Plate +1</t>
  </si>
  <si>
    <t>+2 Studded Leather</t>
  </si>
  <si>
    <t>Splint +2</t>
  </si>
  <si>
    <t>24 TCP</t>
  </si>
  <si>
    <t>White Robe of the Archmagi</t>
  </si>
  <si>
    <t>Defender Longsword</t>
  </si>
  <si>
    <t>T3-T4</t>
  </si>
  <si>
    <t>Black Crystal Tablet</t>
  </si>
  <si>
    <t xml:space="preserve"> </t>
  </si>
  <si>
    <t>Table H</t>
  </si>
  <si>
    <t>Greatsword, +3</t>
  </si>
  <si>
    <t>Carpet of Flying</t>
  </si>
  <si>
    <t>+3 Shield</t>
  </si>
  <si>
    <t>Skyfist (Dwarven Thrower)</t>
  </si>
  <si>
    <t>+3 Longbow</t>
  </si>
  <si>
    <t>20 TCP</t>
  </si>
  <si>
    <t>Candle of Invocation (CG)</t>
  </si>
  <si>
    <t>Oathbow - Shadowsong</t>
  </si>
  <si>
    <t>+1 Studded Leather</t>
  </si>
  <si>
    <t>Figurine of Wonderous Power, Obsidian Steed</t>
  </si>
  <si>
    <t>+1 Breastplate (Glass)</t>
  </si>
  <si>
    <t>RotPK +3 / Robe of Scintillating Colors Zargon</t>
  </si>
  <si>
    <t xml:space="preserve">Manual of Gainful Exercise / </t>
  </si>
  <si>
    <t>Staff of Striking (Brian Daniel)</t>
  </si>
  <si>
    <t>Dancing Longsword</t>
  </si>
  <si>
    <t>Adamantine Half-Plate</t>
  </si>
  <si>
    <t>Carpet of Flying 5x7</t>
  </si>
  <si>
    <t>+3 Greataxe / CHA Tome</t>
  </si>
  <si>
    <t xml:space="preserve">Helm of Brilliance </t>
  </si>
  <si>
    <t>CHA Tome / +3 Quarterstaff Jerrica</t>
  </si>
  <si>
    <t>Table G</t>
  </si>
  <si>
    <t>Ring of Fire Resistance</t>
  </si>
  <si>
    <t>Necklace of Prayer Beads</t>
  </si>
  <si>
    <t>Glamoured Studded Leather +1</t>
  </si>
  <si>
    <t>Periept of Proof Against Poison</t>
  </si>
  <si>
    <t>Stone of controlling earth elementals</t>
  </si>
  <si>
    <t>+2 Silver Dragon Shield</t>
  </si>
  <si>
    <t xml:space="preserve">Belt of Hill Giant Strength </t>
  </si>
  <si>
    <t>Necklace of PB (3 Bless, 2 Curing)</t>
  </si>
  <si>
    <t>Greatsword, +2</t>
  </si>
  <si>
    <t>Wand of the War Mage, +2</t>
  </si>
  <si>
    <t>Dawnfire (Sunblade)</t>
  </si>
  <si>
    <t>Raven Flavored Cloak of the Bat</t>
  </si>
  <si>
    <t>Vicious Spear</t>
  </si>
  <si>
    <t xml:space="preserve">Mantle of Spell Resistance </t>
  </si>
  <si>
    <t>T2-T4</t>
  </si>
  <si>
    <t>Rod of Rulership</t>
  </si>
  <si>
    <t>+2 Hand Crossbow</t>
  </si>
  <si>
    <t>bowl of commanding water elementals</t>
  </si>
  <si>
    <t>Mace of Disruption</t>
  </si>
  <si>
    <t>Velahr'Kerym (Flametongue Longsword)</t>
  </si>
  <si>
    <t>Winter Wolf Cloak (Hell Hound Cloak)</t>
  </si>
  <si>
    <t>Flametongue Short Sword</t>
  </si>
  <si>
    <t>Ivory Goats</t>
  </si>
  <si>
    <t>Bag of Beans</t>
  </si>
  <si>
    <t>Table F</t>
  </si>
  <si>
    <t>Mithral Plate</t>
  </si>
  <si>
    <t>+1 Shortsword</t>
  </si>
  <si>
    <t>Hellrider Badge</t>
  </si>
  <si>
    <t>Night Caller</t>
  </si>
  <si>
    <t>All Purpose Tool +1</t>
  </si>
  <si>
    <t>16 TCP</t>
  </si>
  <si>
    <t>Longbow, +1</t>
  </si>
  <si>
    <t>Shortbow +1</t>
  </si>
  <si>
    <t>ring of mind shielding</t>
  </si>
  <si>
    <t>Wand of Magic Missile</t>
  </si>
  <si>
    <t>T1-T4</t>
  </si>
  <si>
    <t>Table E</t>
  </si>
  <si>
    <t>16TCP</t>
  </si>
  <si>
    <t>Table D</t>
  </si>
  <si>
    <t>Table C</t>
  </si>
  <si>
    <t>Eyes of minute seeing</t>
  </si>
  <si>
    <t>8 TCP</t>
  </si>
  <si>
    <t>Table B</t>
  </si>
  <si>
    <t>Helm of Comp Lang</t>
  </si>
  <si>
    <t>Moontouched Longsword</t>
  </si>
  <si>
    <t>White Dragonhide Cape</t>
  </si>
  <si>
    <t>Luckblade</t>
  </si>
  <si>
    <t>DM Reward</t>
  </si>
  <si>
    <t>+2 Warhammer</t>
  </si>
  <si>
    <t>Legacy Sunblade</t>
  </si>
  <si>
    <t>+3 Hand Crossbow</t>
  </si>
  <si>
    <t>+2 Shortbow</t>
  </si>
  <si>
    <t>goggles of night</t>
  </si>
  <si>
    <t>a/o 14JUL19</t>
  </si>
  <si>
    <t>Converted</t>
  </si>
  <si>
    <t>Tier 1</t>
  </si>
  <si>
    <t>Tier 2</t>
  </si>
  <si>
    <t>Tier 3</t>
  </si>
  <si>
    <t>Tier 4</t>
  </si>
  <si>
    <t>Defender</t>
  </si>
  <si>
    <t>Plate armor of thunder resistance</t>
  </si>
  <si>
    <t>Plate Armor of Ethrealness</t>
  </si>
  <si>
    <t>Cubic Gate</t>
  </si>
  <si>
    <t>+2 Studded Leather Armor</t>
  </si>
  <si>
    <t>5x7 Flying Carpet</t>
  </si>
  <si>
    <t>+3 Pike</t>
  </si>
  <si>
    <t>Tome of L&amp;I</t>
  </si>
  <si>
    <t>Frostbrand Rapier</t>
  </si>
  <si>
    <t>9 Lives Stealer (9 charges)</t>
  </si>
  <si>
    <t>+3 Battleaxe Skeggox</t>
  </si>
  <si>
    <t>Dancing Rapier</t>
  </si>
  <si>
    <t>Tome of Intellect</t>
  </si>
  <si>
    <t>Cloak of Scintillating Colors</t>
  </si>
  <si>
    <t>Sword of Sharpness (Desolation)</t>
  </si>
  <si>
    <t>Lance, +3</t>
  </si>
  <si>
    <t>Helm of Brillance</t>
  </si>
  <si>
    <t>Red Dragon Scale Mail</t>
  </si>
  <si>
    <t>Crystal Ball (VR)</t>
  </si>
  <si>
    <t>Spear of Backbiting</t>
  </si>
  <si>
    <t>+2 Greatsword</t>
  </si>
  <si>
    <t>Chainmail, +1</t>
  </si>
  <si>
    <t>Ring of Cold Resistance</t>
  </si>
  <si>
    <t>Peript of Proof Against Poison</t>
  </si>
  <si>
    <t>staff of healing</t>
  </si>
  <si>
    <t>+2 Giantsbane Longbow</t>
  </si>
  <si>
    <t>Daerns Instant Fortress</t>
  </si>
  <si>
    <t>Rastol Shan's Mask (Cloak of Protection +2)</t>
  </si>
  <si>
    <t>+2 Longbow sentinel Giant</t>
  </si>
  <si>
    <t>rod of rulership</t>
  </si>
  <si>
    <t>FoWP: Serpentine Owl</t>
  </si>
  <si>
    <t>Vicious Mace</t>
  </si>
  <si>
    <t>Horn of the Endless Maze</t>
  </si>
  <si>
    <t>+2 Longsword</t>
  </si>
  <si>
    <t>Gloves of Missile Snaring</t>
  </si>
  <si>
    <t>FoWP Bronze Griffon</t>
  </si>
  <si>
    <t>Sword of Vengence</t>
  </si>
  <si>
    <t xml:space="preserve">Circlet of Human Perfection </t>
  </si>
  <si>
    <t>+1 Short sword (Foxblade)</t>
  </si>
  <si>
    <t>Wand of the Warmage +1</t>
  </si>
  <si>
    <t>Peript of Wound Closure</t>
  </si>
  <si>
    <t>Amulet of Protection from Turning</t>
  </si>
  <si>
    <t>Nolzor's Marvelous Pigments</t>
  </si>
  <si>
    <t>Decanter of Endless Water</t>
  </si>
  <si>
    <t>Helm of Comprehending Languages</t>
  </si>
  <si>
    <t>Mariner's Armor</t>
  </si>
  <si>
    <t>Elemental Gem (Water)</t>
  </si>
  <si>
    <t>Elemental Gem (water)</t>
  </si>
  <si>
    <t>Rope of Climbing</t>
  </si>
  <si>
    <t xml:space="preserve">Chest of Perserving </t>
  </si>
  <si>
    <t>Magic Item</t>
  </si>
  <si>
    <t>Type</t>
  </si>
  <si>
    <t>Rarity</t>
  </si>
  <si>
    <t>Rarity Value (for sorting purposes)</t>
  </si>
  <si>
    <t>Attunement</t>
  </si>
  <si>
    <t>Restrictions</t>
  </si>
  <si>
    <t>Description</t>
  </si>
  <si>
    <t>Magic Item Table</t>
  </si>
  <si>
    <t>AL Locations</t>
  </si>
  <si>
    <t>Armor of Gleaming</t>
  </si>
  <si>
    <t>Armor</t>
  </si>
  <si>
    <t>medium or heavy, but not hide</t>
  </si>
  <si>
    <t>XGE 136</t>
  </si>
  <si>
    <t>CCC-MTL-03 | WBW-DC-SUNLIT-04</t>
  </si>
  <si>
    <t>Bead of Nourishment</t>
  </si>
  <si>
    <t>Wondrous Item</t>
  </si>
  <si>
    <t>Bead of Refreshment</t>
  </si>
  <si>
    <t>Boots of False Tracks</t>
  </si>
  <si>
    <t>DDHC-DMM-Lvl-19 | CCC-PRETZ-PLA02 | CCC-CENTRIC-01-02 | CCC-FAD-01 | CCC-FCC-001 | CCC-RCC-01-03 | DDAL10-00 | DC-POA-CBB-04 | DC-POA-CODEX-03 | DC-POA-GARYXIII-01 | DC-POA-PND-5 | DC-POA-TCW-ACW-4 | DC-POA-Z-T2S2 | DC-POA-A Dragon Heart | DC-POA-CONMAR-07 | DC-POA-DCAF05 | DC-POA-GSP03-01 | DC-POA-HARM-01-02 | DC-POA-JAT-03 | DC-POA-NN01-01 | DC-POA-TDG01-01</t>
  </si>
  <si>
    <t>DDAL00-04 | DDHC-DMM-Lvl-19 | CCC-AETHER02-01 | CCC-ALMOG-26-DAGON01-01 | CCC-BWM-002 | CCC-ELO-02 | CCC-TRI-34 | DC-POA-AOT01-01 | DC-POA-CD-01 | DC-POA-CONMAR-17 | DC-POA-COULEE21-02 | DC-POA-DES-05A | DC-POA-JTAID | DC-POA-KCB-01 | DC-POA-MCIW-01 | DC-POA-RH01 | DC-POA-SFG01</t>
  </si>
  <si>
    <t>Cast-Off Armor</t>
  </si>
  <si>
    <t>DC-POA-CONMAR-06 | DC-POA-DCAF07 | DC-POA-GARYXIII-04 | DC-POA-HAG-SF4</t>
  </si>
  <si>
    <t>Cast-Off Armor, Breastplate</t>
  </si>
  <si>
    <t>Cast-Off Armor, Chain Mail</t>
  </si>
  <si>
    <t>Cast-Off Armor, Chain Shirt</t>
  </si>
  <si>
    <t>Cast-Off Armor, Half-Plate</t>
  </si>
  <si>
    <t>Cast-Off Armor, Hide</t>
  </si>
  <si>
    <t>Cast-Off Armor, Leather</t>
  </si>
  <si>
    <t>Cast-Off Armor, Padded</t>
  </si>
  <si>
    <t>Cast-Off Armor, Plate</t>
  </si>
  <si>
    <t>DRW-OD-05</t>
  </si>
  <si>
    <t>Cast-Off Armor, Ring Mail</t>
  </si>
  <si>
    <t>Cast-Off Armor, Scale Mail</t>
  </si>
  <si>
    <t>Cast-Off Armor, Splint</t>
  </si>
  <si>
    <t>Cast-Off Armor, Studded Leather</t>
  </si>
  <si>
    <t>yes</t>
  </si>
  <si>
    <t>CCC-AETHER-02-03 | CCC-DES-01-06 | CCC-GHC-BK2-01 | CCC-GLIP-01-01 | DDEP10-01 | DC-POA-CONMAR-11 | DC-POA-DCAF11 | DC-POA-EBAL-TT1 | DC-POA-NBDD-01 | DC-POA-TDG01-11 | DC-POA-TLOH-01 | WBW-DC-BIRE-03</t>
  </si>
  <si>
    <t>WDMM 310</t>
  </si>
  <si>
    <t>DDAL08-17 | DDAL08-18 | DDHC-DMM-Lvl-10 | CCC-ODFC04-01 | DC-POA-CJK | DC-POA-CONMAR-16 | DC-POA-DRAGON-01 | DC-POA-PM01 | DC-POA-PND-4 | DC-POA-TDG01-06 | DC-POA-TDG01-09</t>
  </si>
  <si>
    <t>DDHC-XGE-01 | DDHC-DoIP-Ch-14 | CCC-MCX01-02 | CCC-TAROT02-08 | WBW-DC-ROG-03 | WBW-Magic Item Table B | WBW-DC-AA-ASHALON-01 | WBW-DC-ANDL-02 | WBW-DC-CONMAR-13 | WBW-DC-DOBU-01-01 | WBW-DC-FEN-02 | WBW-DC-SUNLIT-05 | WBW-DC-TCW-AVG-1 | WBW-DC-ZODIAC-04 | WBW-DC-ZODIAC-11</t>
  </si>
  <si>
    <t>DDHC-DoIP-Ch-12 | DRW-OD-02 | CCC-GSP01-03 | CCC-QUAKE-01 | CCC-TRI-30 | CCC-HERO-BK-02-02 | CCC-MELB-01 | CCC-ROLL20-02 | CCC-SEA-01-03 | CCC-TXLIFE-01 | DC-POA-AOT01-02 | DC-POA-CBB-01 | DC-POA-CONMAR-21 | DC-POA-DES-05C | DC-POA-EH-1 | DC-POA-GSP02-01H | DC-POA-SN-01 | DC-POA-ZF01 | WBW-DC-BIRE-06 | WBW-DC-JOQ-01 | WBW-Magic Item Table B | WBW-DC-AEG-01 | WBW-DC-AMQ-02 | WBW-DC-ANDL-03 | WBW-DC-CONMAR-08 | WBW-DC-EBAL-MEF2 | WBW-DC-JSH-LIB-03 | WBW-DC-LAB-01 | WBW-DC-LEGIT-SV-05 | WBW-DC-MIMIC-01 | WBW-DC-PHP-PHAN-01 | WBW-DC-ROOK-1-1 | WBW-DC-TEN-02 | WBW-DC-UCON-02 | SJ-Magic Item Table B | SJ-DC-DFA-01 | SJ-DC-DWR-02 | SJ-DC-SYL-01</t>
  </si>
  <si>
    <t>XGE 137</t>
  </si>
  <si>
    <t>DDHC-DoIP-Ch-7 | DRW-OD-03 | CCC-BWM-007-01 | CCC-CENTRIC-01-03 | CCC-GAD01-03 | CCC-GHC-BK2-08 | CCC-NBDD01-02 | CCC-SCAR02-01 | CCC-UCON02-02 | CCC-UNITE-GD-01 | DDAL10-08 | DDAL10-10 | WBW-DC-SUNLIT-05 | SJ-DC-DEN-H7</t>
  </si>
  <si>
    <t>CCC-GSP04-01 | SJ-Magic Item Table B | SJ-DC-NCH-02 | SJ-DC-TRIDEN-MW</t>
  </si>
  <si>
    <t>CCC-GEL-01 | CCC-ALMOG-27-DAGON01-02 | CCC-BWM-005 | CCC-DES-01-06 | CCC-GHC-BK2-09 | CCC-TAROT01-07 | DDAL10-07</t>
  </si>
  <si>
    <t>DDHC-DoIP-Ch-1 | PO-BK2-03 | DDHC-DMM-Lvl-11 | CCC-AETHER01-02 | CCC-GLIP-01-03 | CCC-OCC-02 | CCC-BWM-003 | CCC-GAD01-02 | DC-POA-CONMAR-05 | WBW-DC-DEN-H1</t>
  </si>
  <si>
    <t>DDHC-DIA-01 | CCC-ALMOG-25-SALT01-05</t>
  </si>
  <si>
    <t>PO-BK2-03 | CCC-PRIORY-03 | CCC-BMG-MOON6-1 | CCC-ELF-04 | CCC-HAL-06 | CCC-HERO-BK03-02 | CCC-ELF-04 | DC-POA-DCAF03 | DC-POA-MDV01 | DC-POA-RED-01 | DC-POA-JGD-05</t>
  </si>
  <si>
    <t>Ersatz Eye</t>
  </si>
  <si>
    <t>DDIA-XGE | CCC-VOTE-01-01 | DDAL10-00</t>
  </si>
  <si>
    <t>Flurried Furs</t>
  </si>
  <si>
    <t>any light or medium armor</t>
  </si>
  <si>
    <t>DDAL00-04</t>
  </si>
  <si>
    <t>Hat of Vermin</t>
  </si>
  <si>
    <t>CCC-GSP02-01 | CCC-SAC-06 | CCC-TAROT01-05 | WBW-DC-BIRE-02 | WBW-DC-CONMAR-06 | WBW-DC-LSN-01 | WBW-DC-NJ-HOPE-01 | WBW-DC-ZODIAC-01 | WBW-Magic Item Table B | WBW-DC-ROOK-2-1</t>
  </si>
  <si>
    <t>DDHC-DoIP-Ch-7 | CCC-OA-01-01 | SJ-DC-ECHO-01 | SJ-DC-VMT-01 | SJ-Magic Item Table B</t>
  </si>
  <si>
    <t>CCC-KUMORI-02-01 | CCC-ALMOG-20-TALES01-04 | CCC-HAL-05 | CCC-SEA-01-02 | CCC-SQC-03-02</t>
  </si>
  <si>
    <t>DRW-05 | CCC-BMG-MOON6-3 | CCC-KUMORI-03-03 | CCC-QCC2019-03 | CCC-SQC-03-03 | DDEP10-00 | WBW-DC-ZODIAC-02 | SJ-DC-NOS-02 | SJ-DC-ANGKA-02 | SJ-DC-AUG-07 | SJ-DC-BEB-01 | SJ-DC-DEN-H6 | SJ-DC-MAD-02 | SJ-DC-NOS-01 | SJ-Magic Item Table B</t>
  </si>
  <si>
    <t>Illuminator's Tattoo</t>
  </si>
  <si>
    <t>TCE 129</t>
  </si>
  <si>
    <t>DDAL10-01 | DC-POA-CBB-03 | DC-POA-CONMAR-19 | DC-POA-DCAF09 | DC-POA-GARYXIII-05 | DC-POA-JL01 | DC-POA-LEXI-01 | DC-POA-ROG-3 | DC-POA-SH01 | DC-POA-TDG01-10 | DC-POA-Z-T2S1 | WBW-Magic Item Table B | WBW-DC-BIRE-05 | WBW-DC-CONMAR-04 | WBW-DC-ZODIAC-02</t>
  </si>
  <si>
    <t>Instrument of Illusions</t>
  </si>
  <si>
    <t>DDHC-DoIP-Ch-4 | CCC-ODFC03-01 | CCC-TAROT01-06</t>
  </si>
  <si>
    <t>XGE 138</t>
  </si>
  <si>
    <t>DRW-OD-04 | CCC-BWM-07-02 | DC-POA-CONMAR-13 | DC-POA-DCAF10 | DC-POA-DRAGON-03 | DC-POA-TCW-ACW-2 | SJ-Magic Item Table B | SJ-DC-NBDD-01</t>
  </si>
  <si>
    <t>Lantern of Tracking</t>
  </si>
  <si>
    <t>RotFM 314</t>
  </si>
  <si>
    <t>DDHC-RotFM-Ch-1 | DC-POA-CONMAR-01 | DC-POA-GSP01-02 | DC-POA-HARM-01-03 | DC-POA-JAT-04 | DC-POA-PM03 | DC-PoA-ROG-2 | DC-POA-SUNLIT-02 | DC-POA-Z-T1S3</t>
  </si>
  <si>
    <t>Lock of Trickery</t>
  </si>
  <si>
    <t>PO-BK2-01</t>
  </si>
  <si>
    <t>TCE</t>
  </si>
  <si>
    <t>DC-POA-CG-1-1 | DC-POA-CONMAR-02 | DC-POA-COULEE21-04 | DC-POA-DES-05D | DC-POA-DOBU-01-01 | DC-POA-EK-WC01 | DC-POA-EPO-1 | DC-POA-GSP02-04H | DC-POA-KCB-MBL | DC-POA-LIGA-01 | DC-POA-PJE-01 | DC-POA-PM07 | DC-POA-ROBIN-01-1 | DC-POA-SUNLIT-01 | DC-POA-VID-01 | DC-POA-WI-DD-02 | DC-POA-Z-T1S1 | WBW-DC-CONMAR-02 | WBW-DC-GC14-04 | WBW-DC-MEM-01 | WBW-DC-DGE-01 | WBW-DC-EBAL-MEF1 | WBW-DC-JOQ-03 | WBW-DC-PHP-HOE-02 | WBW-DC-SO-01 | WBW-DC-ZODIAC-05 | SJ-Magic Item Table B | SJ-DC-DD-01 | SJ-DC-DEN-H4 | SJ-DC-ECHO-02</t>
  </si>
  <si>
    <t>Moon-Touched Sword</t>
  </si>
  <si>
    <t>Weapon</t>
  </si>
  <si>
    <t>any sword</t>
  </si>
  <si>
    <t>PO-BK2-02 | CCC-BMG-MOON6-2 | CCC-GAD02-01 | CCC-GHC-BK1-01 | CCC-UNITE-05</t>
  </si>
  <si>
    <t>Moon-Touched Sword, Greatsword</t>
  </si>
  <si>
    <t>Moon-Touched Sword, Longsword</t>
  </si>
  <si>
    <t>Moon-Touched Sword, Rapier</t>
  </si>
  <si>
    <t>CCC-GAD02-01 | CCC-UNITE-05</t>
  </si>
  <si>
    <t>Moon-Touched Sword, Scimitar</t>
  </si>
  <si>
    <t>Moon-Touched Sword, Shortsword</t>
  </si>
  <si>
    <t>DDHC-DoIP-Ch-11 | CCC-BFG01-02 | CCC-UNITE-AN-04 | CCC-WWC-08</t>
  </si>
  <si>
    <t>DDHC-DMM-Lvl-19 | CCC-ALMOG-ESC03-03 | CCC-CNE-01 | CCC-COTN-01-01 | CCC-GAD02-02</t>
  </si>
  <si>
    <t>Orb of Gonging</t>
  </si>
  <si>
    <t>WDMM</t>
  </si>
  <si>
    <t>DDHC-DMM-Lvl-13</t>
  </si>
  <si>
    <t>DC-POA-CBB-06 | DC-POA-CONMAR-10 | DC-POA-CTH1 | DC-POA-DCAF06 | DC-POA-MB-01 | DC-POA-OGG-02 | DC-POA-SAD-ODW | DC-POA-SSM-01 | DC-POA-TCW-ACW-1 | DC-POA-ZL-01</t>
  </si>
  <si>
    <t>Perfume of Bewitching</t>
  </si>
  <si>
    <t>CCC-BWM-007-03</t>
  </si>
  <si>
    <t>Pipe of Remembrance</t>
  </si>
  <si>
    <t>DDHC-GSM-Ch-2</t>
  </si>
  <si>
    <t>DDHC-DMM-Lvl-4 | CCC-3MAGS01 | CCC-GSP01-02 | CCC-SHINY-04 | CCC-SQC-03-01 | WBW-DC-AH-01 | WBW-DC-AUG-01 | WBW-DC-CONMAR-07 | WBW-DC-HH-01 | WBW-Magic Item Table B | WBW-DC-HIP-01 | WBW-DC-ZODIAC-03 | WBW-DC-ZODIAC-12</t>
  </si>
  <si>
    <t>DDHC-DMM-Lvl-19 | CCC-CNE-01 | CCC-MWGF-01 | DDEP10-01 | DC-POA-CODEX-01 | DC-POA-CONMAR-14 | DC-POA-COULEE21-03 | DC-POA-DCAF01 | DC-POA-GSP01-01 | DC-POA-KCB-02 | DC-POA-NB-01 | DC-POA-LEGIT-SV-03 | DC-POA-PESCH-01 | DC-POA-PND-3 | DC-POA-TTP01-01 | DC-POA-WI-TTT-01</t>
  </si>
  <si>
    <t>DDHC-DoIP-Ch-7 | CCC-QCC2019-01 | WBW-DC-CONMAR-12 | WBW-DC-IDL-03 | WBW-DC-MEM-02 | WBW-DC-PHP-ORNG-02 | WBW-Magic Item Table B | WBW-DC-AMQ-05 | WBW-DC-BIRE-04 | WBW-DC-HAVN-01 | WBW-DC-LEGIT-SV-04 | WBW-DC-MOR-02 | WBW-DC-ROG-01 | WBW-DC-TEN-01 | WBW-DC-THAL-02 | WBW-DC-ZION-02 | WBW-DC-ZODIAC-09 | SJ-DC-DD-03 | SJ-DC-DFA-02 | SJ-DC-NCH-01 | SJ-Magic Item Table B</t>
  </si>
  <si>
    <t>DDIA-XGE | DDHC-DMM-Lvl-2 | WBW-DC-ZEP-T1S1</t>
  </si>
  <si>
    <t>DDAL10-06 | WBW-DC-ARCON-03 | WBW-DC-CG-01 | WBW-DC-MPOP-01 | WBW-DC-VACONS-01</t>
  </si>
  <si>
    <t>WBW-DC-CONMAR-01 | WBW-DC-UCON-01 | SJ-Magic Item Table B | SJ-DC-DD-02 | SJ-DC-LP-01</t>
  </si>
  <si>
    <t>spellcaster</t>
  </si>
  <si>
    <t>DDHC-MORD-01 | CCC-GAD01-01 | DDAL10-09 | WBW-DC-WRT-00</t>
  </si>
  <si>
    <t>Sekolahian Worshiping Statuette</t>
  </si>
  <si>
    <t>DDHC-GSM-Ch-6</t>
  </si>
  <si>
    <t>shield</t>
  </si>
  <si>
    <t>XGE 139</t>
  </si>
  <si>
    <t>CCC-GLIP-01-02 | DC-POA-AMAK01 | DC-POA-CONMAR-15 | DC-POA-COULEE21-01 | DC-POA-CTH2 | DC-POA-SNIPE-01 | DC-POA-SUNLIT-03 | WBW-DC-CONMAR-10 | WBW-DC-DCS-01</t>
  </si>
  <si>
    <t>Smoldering Armor</t>
  </si>
  <si>
    <t>DDAL00-04 | DDAL10-00 | DC-POA-CODEX-02 | DC-POA-CONMAR-08 | DC-POA-GSP02-02H | DC-POA-LEGIT-SV-02 | DC-POA-OGG-01 | DC-POA-PM04 | DC-POA-TDG01-04 | DC-POA-WC-02 | DC-POA-CBB-02 | DC-POA-CONMAR-03 | DC-POA-EPO-2 | DC-POA-INGH-01 | DC-POA-LEGIT-SV-01 | DC-POA-WC-01</t>
  </si>
  <si>
    <t>Smoldering Armor, Breastplate</t>
  </si>
  <si>
    <t>DC-POA-CBB-02 | DC-POA-CONMAR-03 | DC-POA-EPO-2 | DC-POA-INGH-01 | DC-POA-LEGIT-SV-01 | DC-POA-WC-01</t>
  </si>
  <si>
    <t>Smoldering Armor, Chain Mail</t>
  </si>
  <si>
    <t>Smoldering Armor, Chain Shirt</t>
  </si>
  <si>
    <t>Smoldering Armor, Half-Plate</t>
  </si>
  <si>
    <t>Smoldering Armor, Hide</t>
  </si>
  <si>
    <t>Smoldering Armor, Leather</t>
  </si>
  <si>
    <t>Smoldering Armor, Padded</t>
  </si>
  <si>
    <t>Smoldering Armor, Plate</t>
  </si>
  <si>
    <t>Smoldering Armor, Ring Mail</t>
  </si>
  <si>
    <t>Smoldering Armor, Scale Mail</t>
  </si>
  <si>
    <t>CCC-GSP02-02</t>
  </si>
  <si>
    <t>Smoldering Armor, Splint</t>
  </si>
  <si>
    <t>Smoldering Armor, Studded Leather</t>
  </si>
  <si>
    <t>DDAL10-00 | DC-POA-CODEX-02 | DC-POA-CONMAR-08 | DC-POA-GSP02-02H | DC-POA-LEGIT-SV-02 | DC-POA-OGG-01 | DC-POA-PM04 | DC-POA-TDG01-04 | DC-POA-WC-02</t>
  </si>
  <si>
    <t>Spellwrought Tattoo, 1st Level</t>
  </si>
  <si>
    <t>Spellwrought Tattoo, Cantrip</t>
  </si>
  <si>
    <t>SJ-Magic Item Table B</t>
  </si>
  <si>
    <t>Staff</t>
  </si>
  <si>
    <t>CCC-3MAGS01 | WBW-DC-NJ-COU-02 | SJ-DC-DEN-H5 | SJ-Magic Item Table B</t>
  </si>
  <si>
    <t>Staff of Birdcalls</t>
  </si>
  <si>
    <t>DDHC-DoIP-Ch-14 | CCC-OHAYOCON-01-03 | WBW-DC-CONMAR-03 | WBW-DC-FDC-03 | WBW-DC-BIRE-01 | WBW-DC-Death-01 | WBW-DC-ZODIAC-10</t>
  </si>
  <si>
    <t>DDHC-DMM-Lvl-5</t>
  </si>
  <si>
    <t>PO-BK2-02 | CCC-PIPYAPS-DH1 | CCC-SEA-01-01 | WBW-DC-CONMAR-11 | WBW-DC-DEN-H2 | WBW-DC-GC14-02 | WBW-DC-KCB-02 | WBW-DC-LSN-03 | WBW-DC-PHP-ORNG-01 | WBW-Magic Item Table B | WBW-DC-AMQ-03 | WBW-DC-DGE-02 | WBW-DC-DMMC-01 | WBW-DC-DREA-01 | WBW-DC-IDL-02 | WBW-DC-JOQ-04 | WBW-DC-JSH-LIB-02 | WBW-DC-MIKE-01 | WBW-DC-NTP-01 | WBW-DC-PAW-01 | WBW-DC-ZION-01 | WBW-DC-ZODIAC-06 | SJ-DC-DWR-01 | SJ-DC-MAD-01 | SJ-Magic Item Table B</t>
  </si>
  <si>
    <t>Tankard of Plenty</t>
  </si>
  <si>
    <t>HotDQ 74</t>
  </si>
  <si>
    <t>DDHC-HotDQ-Ch-8</t>
  </si>
  <si>
    <t>Tankard of Sobriety</t>
  </si>
  <si>
    <t>CCC-ELF – 02 | CCC-PRIORY-01 | CCC-3MAGS01 | CCC-ODFC03-03 | SJ-DC-ETA | SJ-Magic Item Table B</t>
  </si>
  <si>
    <t>common</t>
  </si>
  <si>
    <t>RotFM 316</t>
  </si>
  <si>
    <t>DDHC-RotFM-Ch-6</t>
  </si>
  <si>
    <t>arrow</t>
  </si>
  <si>
    <t>CCC-BMG-MOON4-3 | CCC-DRUID-01 | CCC-DWB-ACM-1 | CCC-GHC-BK03-01 | CCC-KUMORI-02-04 | CCC-NUKE-01-04 | DDAL10-00</t>
  </si>
  <si>
    <t>Veteran's Cane</t>
  </si>
  <si>
    <t>CCC-DRUIDS-03 | WBW-DC-BIRE-03 | WBW-DC-CONMAR-14 | WBW-Magic Item Table B | WBW-DC-GC14-01 | WBW-DC-JOQ-02 | WBW-DC-LSN-02 | WBW-DC-ROG-02 | WBW-DC-TEN-03 | WBW-DC-THAL-01 | WBW-DC-ZION-03 | WBW-DC-ZODIAC-08</t>
  </si>
  <si>
    <t>Wand</t>
  </si>
  <si>
    <t>XGE 140</t>
  </si>
  <si>
    <t>DDHC-DMM-Lvl-7 | CCC-TRI-18</t>
  </si>
  <si>
    <t>DDHC-DoIP-Ch-7 | DDAL10-05 | DC-POA-CONMAR-12 | DC-POA-DCAF08 | DC-POA-GARYXIII-03 | DC-POA-PND-1 | DC-POA-TDG01-05 | WBW-DC-GC14-03 | WBW-DC-HBK-2 | WBW-DC-MOM-01 | WBW-Magic Item Table B | WBW-DC-AA-ASHALON-02 | WBW-DC-BIRE-07 | WBW-DC-HH-02 | WBW-DC-LEGIT-SV-06 | WBW-DC-MOR-01 | WBW-DC-NBDD-01 | WBW-DC-SQT-01 | WBW-DC-SUNLIT-06 | WBW-DC-ZODIAC-13</t>
  </si>
  <si>
    <t>Wand of Scowls</t>
  </si>
  <si>
    <t>DDIA-XGE | CCC-ELF-03-02 | CCC-MAG01-02 | WBW-DC-LSN-04 | WBW-Magic Item Table B | WBW-DC-ANDL-01 | WBW-DC-NJ-COU-01 | WBW-DC-PHP-PHAN-02</t>
  </si>
  <si>
    <t>+1 All-Purpose Tool</t>
  </si>
  <si>
    <t>artificer</t>
  </si>
  <si>
    <t>DC-POA-CBB-04 | DC-POA-CODEX-03 | DC-POA-GARYXIII-01 | DC-POA-PND-5 | DC-POA-TCW-ACW-4 | DC-POA-Z-T2S2</t>
  </si>
  <si>
    <t>+1 Amulet of the Devout</t>
  </si>
  <si>
    <t>cleric or paladin</t>
  </si>
  <si>
    <t>+1 Arcane Grimoire</t>
  </si>
  <si>
    <t>wizard</t>
  </si>
  <si>
    <t>DC-POA-CBB-03 | DC-POA-CONMAR-19 | DC-POA-DCAF09 | DC-POA-GARYXIII-05 | DC-POA-JL01 | DC-POA-LEXI-01 | DC-POA-ROG-3 | DC-POA-SH01 | DC-POA-TDG01-10 | DC-POA-Z-T2S1</t>
  </si>
  <si>
    <t>+1 Bloodwell Vial</t>
  </si>
  <si>
    <t>sorcerer</t>
  </si>
  <si>
    <t>+1 Dragonhide Belt</t>
  </si>
  <si>
    <t>monk</t>
  </si>
  <si>
    <t>FTD 23</t>
  </si>
  <si>
    <t>+1 Moon Sickle</t>
  </si>
  <si>
    <t>druid or ranger</t>
  </si>
  <si>
    <t>DRW-10</t>
  </si>
  <si>
    <t>+1 Rhythm-Maker's Drum</t>
  </si>
  <si>
    <t>bard</t>
  </si>
  <si>
    <t>+1 Rod of the Pact Keeper</t>
  </si>
  <si>
    <t>Rod</t>
  </si>
  <si>
    <t>warlock</t>
  </si>
  <si>
    <t>DMG 197</t>
  </si>
  <si>
    <t>F46-47</t>
  </si>
  <si>
    <t>DDEX2-8 | DDHC-CoS-Ch-4 | DDHC-TYP-Ch-3 | CCC-HERO-BK-02-02 | SJ-Magic Item Table A | SJA - 04 | SJA - 04</t>
  </si>
  <si>
    <t>+1 Shield</t>
  </si>
  <si>
    <t>DMG 200</t>
  </si>
  <si>
    <t>F16-18</t>
  </si>
  <si>
    <t>DDHC-DoIP-Ch-3 | DDHC-KGV-Ch-10 | DDHC-PotA-Ch-4 | DDEX3-5 | DDHC-OotA-Ch-4 | DDHC-TYP-Ch-6 | DDHC-TYP-Ch-6 | DDHC-TYP-Ch-6 | DDHC-TYP-Ch-2 | DDHC-TYP-Ch-6 | DDHC-ToA-1-Ch-5 | DDHC-ToA-1-Ch-1 | CCC-TAROT01-02 | SJA - 04</t>
  </si>
  <si>
    <t>+1 Wand of the War Mage</t>
  </si>
  <si>
    <t>DMG 212</t>
  </si>
  <si>
    <t>F60-61</t>
  </si>
  <si>
    <t>DDHC-PotA-Ch-6 | DDEX3-10 | DDHC-SKT-Ch-2 | DDHC-DMM-Lvl-10 | DDHC-DIA-Ch-3b | DDHC-RotFM-Ch-1</t>
  </si>
  <si>
    <t>+1 Weapon, Battleaxe</t>
  </si>
  <si>
    <t>DDHC-LMOP-Ch-3 | DDHC-DSI-Ch-4 | DDHC-KGV-Ch-8 | DDHC-KGV-Ch-10 | DDHC-TYP-Ch-5 | DDHC-TYP-Ch-5 | DDHC-TYP-Ch-6 | DDHC-TYP-Ch-6 | DDHC-TYP-Ch-6 | DDHC-ToA-1-Ch-2 | CCC-GHC-02 | CCC-RPR-01</t>
  </si>
  <si>
    <t>+1 Weapon, Blowgun</t>
  </si>
  <si>
    <t>+1 Weapon, Club</t>
  </si>
  <si>
    <t>DDHC-TOA-8 | DDHC-TOA-12 | DDHC-TOA-8 | DDHC-TOA-12</t>
  </si>
  <si>
    <t>+1 Weapon, Dagger</t>
  </si>
  <si>
    <t>DDHC-KGV-Ch-1 | DDHC-RoT-Ch-7 | DDHC-OotA-Ch-13 | DDHC-OotA-Ch-2 | DDHC-TYP-Ch-5 | DDHC-TYP-Ch-3 | DDHC-ToA-1-Ch-1 | DDHC-ToA-1-Ch-1 | DDHC-WDH-Ch-7 | CCC-GHC-BK03-01 | CCC-BMG-MOON2-2 | DDHC-WBW-Ch-2</t>
  </si>
  <si>
    <t>+1 Weapon, Dart</t>
  </si>
  <si>
    <t>+1 Weapon, Flail</t>
  </si>
  <si>
    <t>DDHC-CM-Ch-1 | DDHC-TYP-Ch-7</t>
  </si>
  <si>
    <t>+1 Weapon, Glaive</t>
  </si>
  <si>
    <t>DDHC-DIA-Ch-4 | CCC-TRI-17</t>
  </si>
  <si>
    <t>+1 Weapon, Greataxe</t>
  </si>
  <si>
    <t>DDHC-PotA-Ch-6</t>
  </si>
  <si>
    <t>+1 Weapon, Greatclub</t>
  </si>
  <si>
    <t>DDHC-TOA-8 | DDHC-TOA-12</t>
  </si>
  <si>
    <t>+1 Weapon, Greatsword</t>
  </si>
  <si>
    <t>DDHC-TYP-Ch-5 | CCC-GLIP-01-01</t>
  </si>
  <si>
    <t>+1 Weapon, Halberd</t>
  </si>
  <si>
    <t>DDEP5-2-T1</t>
  </si>
  <si>
    <t>+1 Weapon, Hand crossbow</t>
  </si>
  <si>
    <t>DDHC-TYP-Ch-6 | CCC-BMG-29/HILL2-2</t>
  </si>
  <si>
    <t>+1 Weapon, Handaxe</t>
  </si>
  <si>
    <t>DDHC-KGV-Ch-1</t>
  </si>
  <si>
    <t>+1 Weapon, Heavy Crossbow</t>
  </si>
  <si>
    <t>+1 Weapon, Javelin</t>
  </si>
  <si>
    <t>+1 Weapon, Lance</t>
  </si>
  <si>
    <t>CCC-APL-01-01</t>
  </si>
  <si>
    <t>+1 Weapon, Light Crossbow</t>
  </si>
  <si>
    <t>+1 Weapon, Light Hammer</t>
  </si>
  <si>
    <t>+1 Weapon, Longbow</t>
  </si>
  <si>
    <t>DDEX1-9 | DDHC-HotDQ-Ch-8 | DDHC-HotDQ-Ch-4 | DDHC-HotDQ-Ch-8 | DDHC-SKT-Ch-2 | DDHC-TYP-Ch-6 | CCC-BMG-MOON2-2</t>
  </si>
  <si>
    <t>+1 Weapon, Longsword</t>
  </si>
  <si>
    <t>DDHC-LMOP-Ch-2 | DDHC-GSM-Ch-3 | DDEP1 | DDHC-HotDQ-Ch-8 | DDHC-HotDQ-Ch-8 | DDHC-PotA-Ch-4 | DDHC-TYP-Ch-2 | DDHC-TYP-Ch-5 | DDHC-DIA-Ch-2 | DDHC-WBW-Ch-3</t>
  </si>
  <si>
    <t>+1 Weapon, Mace</t>
  </si>
  <si>
    <t>DDHC-LMOP-Ch-4 | DDHC-TYP-Ch-3 | DDHC-DIA-Ch-1 | CCC-SALT01-02</t>
  </si>
  <si>
    <t>+1 Weapon, Maul</t>
  </si>
  <si>
    <t>PotA-Addendum | DDHC-DIA-Ch-3b</t>
  </si>
  <si>
    <t>+1 Weapon, Morningstar</t>
  </si>
  <si>
    <t>+1 Weapon, Pike</t>
  </si>
  <si>
    <t>DDHC-TYP-Ch-5</t>
  </si>
  <si>
    <t>+1 Weapon, Quarterstaff</t>
  </si>
  <si>
    <t>DDEX3-16 | DDAL07-03 | CCC-TRI-11 | DDHC-WBW-Ch-5</t>
  </si>
  <si>
    <t>+1 Weapon, Rapier</t>
  </si>
  <si>
    <t>DDHC-KGV-Ch-2 | DDEX3-2 | DDHC-TYP-Ch-2</t>
  </si>
  <si>
    <t>+1 Weapon, Scimitar</t>
  </si>
  <si>
    <t>DDHC-PotA-Ch-5 | DDHC-TOA-8 | DDHC-TOA-9 | CCC-ODFC02-01 | CCC-PRIORY-02</t>
  </si>
  <si>
    <t>+1 Weapon, Shortbow</t>
  </si>
  <si>
    <t>DDEX3-16 | DDHC-TYP-Ch-5 | DDHC-TYP-Ch-5</t>
  </si>
  <si>
    <t>+1 Weapon, Shortsword</t>
  </si>
  <si>
    <t>DDAL-VOLO | DDHC-KGV-Ch-8 | DDHC-OotA-Ch-6 | DDHC-TYP-Ch-6 | DDEP07-01-T1 | DDEP07-01-T2 | DDEP07-01-T1 | DDEP07-01-T2 | DDHC-TOA-14 | DDHC-DIA-Ch-3c | CCC-GHC-05 | CCC-SRCC01-02</t>
  </si>
  <si>
    <t>+1 Weapon, Sickle</t>
  </si>
  <si>
    <t>+1 Weapon, Sling</t>
  </si>
  <si>
    <t>DDHC-CoS-Ch-10</t>
  </si>
  <si>
    <t>+1 Weapon, Spear</t>
  </si>
  <si>
    <t>+1 Weapon, Staff</t>
  </si>
  <si>
    <t>DDEX3-16 | DDAL07-03</t>
  </si>
  <si>
    <t>+1 Weapon, Trident</t>
  </si>
  <si>
    <t>DDEP07-01-T1</t>
  </si>
  <si>
    <t>+1 Weapon, War Pick</t>
  </si>
  <si>
    <t>CCC-TRI-09</t>
  </si>
  <si>
    <t>+1 Weapon, Warhammer</t>
  </si>
  <si>
    <t>DDHC-OotA-Ch-8 | DDHC-TYP-Ch-6 | DDHC-TYP-Ch-6 | CCC-TAROT01-04</t>
  </si>
  <si>
    <t>+1 Weapon, Whip</t>
  </si>
  <si>
    <t>+1 Weapon, Yklwa</t>
  </si>
  <si>
    <t>DDHC-ToA-1-Ch-1 | DDHC-ToA-1-Ch-5</t>
  </si>
  <si>
    <t>Adamantine Breastplate</t>
  </si>
  <si>
    <t>G15</t>
  </si>
  <si>
    <t>Adamantine Chain mail</t>
  </si>
  <si>
    <t>F66</t>
  </si>
  <si>
    <t>CCC-SALT01-01</t>
  </si>
  <si>
    <t>Adamantine Chain shirt</t>
  </si>
  <si>
    <t>F67</t>
  </si>
  <si>
    <t>DDEP5-2-T1 | CCC-PDXAGE-0101 | CCC-SALT01-01</t>
  </si>
  <si>
    <t>H55</t>
  </si>
  <si>
    <t>Adamantine Plate</t>
  </si>
  <si>
    <t>H56</t>
  </si>
  <si>
    <t>5DDHC-SKT-Ch-7 | DDEP06-01-T1</t>
  </si>
  <si>
    <t>Adamantine Ring Mail</t>
  </si>
  <si>
    <t>Adamantine Scale Mail</t>
  </si>
  <si>
    <t>F68</t>
  </si>
  <si>
    <t>Adamantine Splint</t>
  </si>
  <si>
    <t>G16</t>
  </si>
  <si>
    <t>DDHC-JRC-Ch-12</t>
  </si>
  <si>
    <t>DMG 150</t>
  </si>
  <si>
    <t>B84</t>
  </si>
  <si>
    <t>DDHC-CM-Ch-11 | DDHC-PotA-Ch-5 | DDEX3-8 | DDHC-CoS-Ch-4 | DDHC-ToA-1-Ch-2 | CCC-GHC-BK03-06 | DDHC-RotFM-Ch-5 | DC-POA-AOT01-02 | DC-POA-CBB-01 | DC-POA-CONMAR-21 | DC-POA-DES-05C | DC-POA-EH-1 | DC-POA-GSP02-01H | DC-POA-SN-01 | DC-POA-ZF01</t>
  </si>
  <si>
    <t>F22-23</t>
  </si>
  <si>
    <t>DDHC-SKT-Ch-4 | DDHC-DMM-Lvl-20 | DDAL09-01 | CCC-MMT-02-01 | CCC-SVH-03-01 | CCC-TRI-32</t>
  </si>
  <si>
    <t>DMG 153</t>
  </si>
  <si>
    <t>A99, B65-67</t>
  </si>
  <si>
    <t>DDAL00-11b | DDHC-CM-Ch-5 | DDHC-GSM-Ch-5 | DDHC-GSM-Ch-2 | DDHC-GSM-Ch-7 | DDHC-JRC-Ch-4 | DDHC-KGV-Ch-1 | DRW-INT-01 | DDHC-HotDQ-Ch-8 | DDHC-PotA-Ch-6 | DDHC-OotA-Ch-5 | DDHC-OotA-Ch-9 | DDHC-SKT-Ch-1 | 5DDHC-SKT-Ch-11 | DDHC-TYP-Ch-7 | DDHC-WDH-Ch-5 | DDAL09-17 | CCC-ALMOG-26-DAGON01-01 | CCC-ELO-02 | CCC-GARY-05 | CCC-GLIP-01-02 | CCC-WWC-03 | CCC-GSP04-01 | DDHC-RotFM-Ch-6 | WBW-DC-CONMAR-09 | WBW-DC-DCAF01B | WBW-DC-FDC-04 | WBW-DC-SO-01 | WBW-DC-ZODIAC-00 | WBW-Magic Item Table A | SJ-Magic Item Table A | SJA - 04</t>
  </si>
  <si>
    <t>Bag of Tricks</t>
  </si>
  <si>
    <t>F69-71</t>
  </si>
  <si>
    <t>DDAL00-06 | DDHC-JRC-Ch-7 | DDHC-KGV-Ch-12 | DDHC-CoS-Ch-5 | DDHC-SKT-Ch-2 | DDEP08-01 | CCC-GHC-BK1-09 | CCC-MAG01-02 | CCC-SQC-03-03 | CCC-STORM-02 | CCC-ZIEGE-04-02 | DDHC-RotFM-Ch-2 | DC-POA-CG-1-1 | DC-POA-CONMAR-02 | DC-POA-COULEE21-04 | DC-POA-DES-05D | DC-POA-DOBU-01-01 | DC-POA-EK-WC01 | DC-POA-EPO-1 | DC-POA-GSP02-04H | DC-POA-KCB-MBL | DC-POA-LIGA-01 | DC-POA-PJE-01 | DC-POA-PM07 | DC-POA-ROBIN-01-1 | DC-POA-SUNLIT-01 | DC-POA-VID-01 | DC-POA-WI-DD-02 | DC-POA-Z-T1S1</t>
  </si>
  <si>
    <t>Bag of Tricks, Gray</t>
  </si>
  <si>
    <t>DMG 154</t>
  </si>
  <si>
    <t>DDHC-SKT-Ch-2 | DDHC-RotFM-Ch-2</t>
  </si>
  <si>
    <t>Bag of Tricks, Rust</t>
  </si>
  <si>
    <t>Bag of Tricks, Tan</t>
  </si>
  <si>
    <t>Balance of Harmony</t>
  </si>
  <si>
    <t>TYP 228</t>
  </si>
  <si>
    <t>DDHC-TYP-Ch-3</t>
  </si>
  <si>
    <t>Balloon Pack</t>
  </si>
  <si>
    <t>PotA 22?</t>
  </si>
  <si>
    <t>DDEX2-9 | DDEX2-13</t>
  </si>
  <si>
    <t>Barrier Tattoo, Small</t>
  </si>
  <si>
    <t>Blood Spear</t>
  </si>
  <si>
    <t>spear</t>
  </si>
  <si>
    <t>CoS 221</t>
  </si>
  <si>
    <t>DDHC-CoS-Ch-14</t>
  </si>
  <si>
    <t>Bob</t>
  </si>
  <si>
    <t>battleaxe</t>
  </si>
  <si>
    <t>ToA</t>
  </si>
  <si>
    <t>DDHC-ToA-1-Ch-2 | DDHC-WBW-Ch-2</t>
  </si>
  <si>
    <t>DMG 155</t>
  </si>
  <si>
    <t>F24-25</t>
  </si>
  <si>
    <t>DDHC-DoIP-Ch-6 | DDHC-DSI-Ch-3 | DRW-INT-03 | DDAL4-06 | DDHC-TYP-Ch-6 | DDHC-TYP-Ch-6 | CCC-BMG-MOON6-2 | CCC-KUMORI-02-02 | CCC-SFBAY-04-03</t>
  </si>
  <si>
    <t>DMG 156</t>
  </si>
  <si>
    <t>F26-27</t>
  </si>
  <si>
    <t>DDAL00-06 | DDHC-LMOP-Ch-4 | DDHC-GSM-Ch-5 | DDHC-KGV-Ch-5 | DDHC-TYP-Ch-4 | CCC-TRI-26 | DDAL10-03 | WBW-DC-BIRE-01 | WBW-DC-FEN-02 | WBW-DC-NTP-01 | WBW-DC-ZODIAC-04 | WBW-Magic Item Table A</t>
  </si>
  <si>
    <t>F72</t>
  </si>
  <si>
    <t>DDHC-CM-Ch-11 | CCC-BMG-19/HULB2-1 | CCC-CIC-01 | CCC-HERO-BK-02-03 | DDHC-RotFM-Ch-1 | DC-POA-JGD-05 | DC-POA-CODEX-01 | DC-POA-CONMAR-14 | DC-POA-COULEE21-03 | DC-POA-DCAF01 | DC-POA-GSP01-01 | DC-POA-KCB-02 | DC-POA-NB-01 | DC-POA-LEGIT-SV-03 | DC-POA-PESCH-01 | DC-POA-PND-3 | DC-POA-TTP01-01 | DC-POA-WI-TTT-01</t>
  </si>
  <si>
    <t>F28-29</t>
  </si>
  <si>
    <t>DRW-EP-03 | DDEP2-T1 | DDEX3-14 | DDAL05-02 | DDHC-ToA-1-Ch-5 | DDHC-WDH-Ch-8 | CCC-GOC-01-01 | DDEP10-01 | DC-POA-DUCKS-OS-02 | DC-POA-GHL-01 | DC-POA-HARM-01-01 | DC-POA-JAT-02 | DC-POA-LEGIT-CIPH-01 | DC-POA-PND-2 | DC-POA-TDG01-02 | DC-POA-CONMAR-05 | DC-POA-DUCKS-OS-02 | DC-POA-GHL-01 | DC-POA-HARM-01-01 | DC-POA-JAT-02 | DC-POA-LEGIT-CIPH-01 | DC-POA-PND-2 | DC-POA-TDG01-02 | WBW-DC-LSN-02 | WBW-Magic Item Table A | SJ-DC-DEN-H7</t>
  </si>
  <si>
    <t>F30-31</t>
  </si>
  <si>
    <t>DDHC-GSM-Ch-7 | DDEX2-5 | DDAL05-03 | CCC-BMG-27/CORE3-3 | CCC-BMG-MOON5-2 | CCC-WWC-06 | DC-POA-CONMAR-11 | DC-POA-DCAF11 | DC-POA-EBAL-TT1 | DC-POA-NBDD-01 | DC-POA-TDG01-11 | DC-POA-TLOH-01 | SJ-DC-DD-03 | SJ-DC-TKM-01 | SJ-Magic Item Table A</t>
  </si>
  <si>
    <t>F32-33</t>
  </si>
  <si>
    <t>DDAL09-13 | CCC-DES-01-06 | CCC-RPSG-01 | CCC-TAROT01-05 | CCC-TRI-13 | CCC-UK-2</t>
  </si>
  <si>
    <t>DMG 157</t>
  </si>
  <si>
    <t>B85</t>
  </si>
  <si>
    <t>DDAL07-17 | DDHC-WDH-Ch-7 | CCC-GARY-03</t>
  </si>
  <si>
    <t>DMG 158</t>
  </si>
  <si>
    <t>F73</t>
  </si>
  <si>
    <t>DDAL-VOLO | DDHC-MORD-03 | DDHC-ToA-1-Ch-2 | DDHC-DMM-Lvl-1 | DDHC-DIA-Ch-3 | CCC-GHC-BK1-06 | CCC-MCX-01 | CCC-TAROT01-07 | DC-POA-AOT01-01 | DC-POA-CD-01 | DC-POA-CONMAR-17 | DC-POA-COULEE21-02 | DC-POA-DES-05A | DC-POA-JTAID | DC-POA-KCB-01 | DC-POA-MCIW-01 | DC-POA-RH01 | DC-POA-SFG01</t>
  </si>
  <si>
    <t>Humanoid</t>
  </si>
  <si>
    <t>DMM 30</t>
  </si>
  <si>
    <t>alcc F</t>
  </si>
  <si>
    <t>F34-35</t>
  </si>
  <si>
    <t>DDEX1-8 | DDHC-OotA-Ch-10 | DDHC-OotA-Ch-12 | DDHC-TYP-Ch-6 | DDHC-TYP-Ch-6 | DDHC-TOA-8 | DDHC-TOA-12 | CCC-BMG-MOON2-3 | CCC-GARY-07</t>
  </si>
  <si>
    <t>DMG 159</t>
  </si>
  <si>
    <t>F36-37</t>
  </si>
  <si>
    <t>DDAL00-02A | DDHC-GSM-Ch-4 | DDEP2-T1 | DDIA04 | DDHC-SKT-Ch-2 | DDAL06-01 | DDAL08-06 | CCC-BMG-MOON6-1 | CCC-BWM-04-02 | CCC-HAL-05 | CCC-WWC-04 | DDHC-RotFM-Ch-2 | WBW-DC-AMQ-01 | WBW-DC-DCAF01 | WBW-DC-EBAL-MEF1 | WBW-DC-MOR-02 | WBW-DC-PHP-TCOM3 | WBW-DC-TLRMB-02 | WBW-Magic Item Table A | WBW-DC-CONMAR-03 | WBW-DC-GC14-04 | WBW-DC-HBK-2 | WBW-DC-PHP-POLAR-02</t>
  </si>
  <si>
    <t>B86</t>
  </si>
  <si>
    <t>DDHC-GSM-Ch-6 | CCC-ALMOG-24-DAGON02-04 | CCC-BMG-MOON4-2 | CCC-GAD01-01 | CCC-GARY-03 | CCC-GARY-17 | CCC-GHC-BK2-03 | CCC-HAL-06 | CCC-UK-4 | CCC-SAC-06 | DC-POA-CONMAR-12 | DC-POA-DCAF08 | DC-POA-GARYXIII-03 | DC-POA-PND-1 | DC-POA-TDG01-05</t>
  </si>
  <si>
    <t>Coiling Grasp Tattoo</t>
  </si>
  <si>
    <t>SJ-DC-MAD-01 | SJ-DC-SQD | SJ-Magic Item Table A</t>
  </si>
  <si>
    <t>Conch Shell of Leomund's Tiny Hut</t>
  </si>
  <si>
    <t>DDHC-TOA-2</t>
  </si>
  <si>
    <t>Cursed Luckstone</t>
  </si>
  <si>
    <t>GoS 229</t>
  </si>
  <si>
    <t>DMG 161</t>
  </si>
  <si>
    <t>C93</t>
  </si>
  <si>
    <t>DDHC-JRC-Ch-7 | DDHC-KGV-Ch-11 | 5DDHC-SKT-Ch-10 | DDHC-DMM-Lvl-22 | CCC-ALMOG-20-TALES01-04 | CCC-ARCANA-02 | CCC-ARCON01-03 | CCC-CIC-09 | CCC-DES-01-04 | CCC-DWB-TLA-1 | CCC-GHC-BK2-02 | CCC-MMT-01-05 | CCC-RPSG-05 | CCC-SDREAM-01-01 | CCC-SEA-01-01 | CCC-TTS-3 | CCC-UCON02-02 | CCC-WWC-09 | CCC-ODFC04-01</t>
  </si>
  <si>
    <t>F74</t>
  </si>
  <si>
    <t>DDHC-CoS-Ch-4 | CCC-BFG01-02 | CCC-KUMORI-02-04 | CCC-UNITE-GD-01</t>
  </si>
  <si>
    <t>DMG 166</t>
  </si>
  <si>
    <t>A100, B87</t>
  </si>
  <si>
    <t>DDHC-CM-Ch-1 | DDHC-CM-Ch-8 | DDHC-JRC-Ch-11 | DDHC-KGV-Ch-5 | DDHC-RoT-Ch-7 | DDHC-PotA-Ch-6 | DDAL4-10 | DDHC-TOA-2 | DDHC-TOA-6 | DDHC-WDH-Ch-4 | DDHC-DMM-Lvl-1 | CCC-HAL-01</t>
  </si>
  <si>
    <t>WBtW 209</t>
  </si>
  <si>
    <t>B74-75</t>
  </si>
  <si>
    <t>DDHC-DMM-Lvl-2 | CCC-UK-3</t>
  </si>
  <si>
    <t>B76-77</t>
  </si>
  <si>
    <t>CCC-UK-1</t>
  </si>
  <si>
    <t>B78-79</t>
  </si>
  <si>
    <t>Eldritch Claw Tattoo</t>
  </si>
  <si>
    <t>WBW-DC-ZODIAC-11 | SJ-DC-DD-02 | SJ-DC-EBAL-SPKY-01 | SJ-DC-ECHO-02 | SJ-DC-FAUX-01 | SJ-Magic Item Table A</t>
  </si>
  <si>
    <t>DMG 168</t>
  </si>
  <si>
    <t>F75</t>
  </si>
  <si>
    <t>DDEP07-01-T1 | DDEP07-01-T2 | DDHC-DIA-Ch-4 | DDHC-DIA-02 | CCC-GSP-FEAR01-01 | DC-POA-CBB-02 | DC-POA-CONMAR-03 | DC-POA-EPO-2 | DC-POA-INGH-01 | DC-POA-LEGIT-SV-01 | DC-POA-WC-01</t>
  </si>
  <si>
    <t>Eyes of Charming</t>
  </si>
  <si>
    <t>F76</t>
  </si>
  <si>
    <t>DDAL4-04 | DDHC-TOA-12 | DDHC-WDH-Ch-5 | CCC-AMER-01</t>
  </si>
  <si>
    <t>C94</t>
  </si>
  <si>
    <t>DDHC-CM-Ch-14 | DDEX3-12 | CCC-GSP-PHIL01-02 | CCC-HERO-BK-02-05 | DDHC-RotFM-Ch-2 | WBW-Magic Item Table A | WBW-DC-LSN-01</t>
  </si>
  <si>
    <t>F77</t>
  </si>
  <si>
    <t>DDAL09-02 | CCC-SHINY-02</t>
  </si>
  <si>
    <t>Feywild Shard</t>
  </si>
  <si>
    <t>WBW-DC-FDC-07 | WBW-DC-GC14-01 | WBW-DC-HIP-01 | WBW-DC-JOQ-04 | WBW-DC-JSH-LIB-02 | WBW-DC-NJ-COU-01 | WBW-DC-THAL-01 | WBW-Magic Item Table A | WBW-DC-BIRE-03 | WBW-DC-CONMAR-07 | WBW-DC-LSN-04 | WBW-DC-MEM-02</t>
  </si>
  <si>
    <t>Figurine of Wondrous Power, Silver Raven</t>
  </si>
  <si>
    <t>DMG 170</t>
  </si>
  <si>
    <t>F78</t>
  </si>
  <si>
    <t>DMG 171</t>
  </si>
  <si>
    <t>F38-39</t>
  </si>
  <si>
    <t>DDHC-LMOP-Ch-4 | DDHC-DoIP-Ch-1 | DDHC-KGV-Ch-12 | DDHC-OotA-Ch-4 | DDAL05-12 | DDHC-TYP-Ch-6 | DDHC-DMM-Lvl-10 | CCC-CIC-08 | CCC-ODFC01-01</t>
  </si>
  <si>
    <t>F79</t>
  </si>
  <si>
    <t>DDHC-OotA-Ch-13 | DDHC-TOA-4 | DDHC-DMM-Lvl-19 | CCC-BMG-MOON8-1 | CCC-KUMORI-01-01 | CCC-ROLL20-02 | CCC-TXLIFE-01 | WBW-DC-CONMAR-13 | WBW-DC-FEN-01 | WBW-DC-LEGIT-SV-04 | WBW-Magic Item Table A | WBW-DC-GC14-03</t>
  </si>
  <si>
    <t>DMG 172</t>
  </si>
  <si>
    <t>F80</t>
  </si>
  <si>
    <t>DDHC-TYP-Ch-3 | CCC-WWC-08</t>
  </si>
  <si>
    <t>F81</t>
  </si>
  <si>
    <t>DRW-EP-01</t>
  </si>
  <si>
    <t>F82</t>
  </si>
  <si>
    <t>DDHC-KGV-Ch-8 | DDAL09-03 | CCC-BMG-05/CORE2-2 | CCC-BMG-10/HILL1-1 | CCC-ELF-03-02 | CCC-FAD-01</t>
  </si>
  <si>
    <t>B88</t>
  </si>
  <si>
    <t>DDHC-CM-Ch-4 | DDHC-DoIP-Ch-10 | DRW-12 | DDEX1-4 | DDHC-OotA-Ch-8 | DDHC-TYP-Ch-4 | DDAL07-04 | DDHC-TOA-6 | DDAL08-02 | CCC-ALMOG-24-DAGON02-02 | CCC-GAD02-01 | CCC-GARY-03 | CCC-TTS-1 | DDAL10-01 | DDHC-WBW-Ch-2 | SJ-DC-TRIDEN-MW | SJ-Magic Item Table A | SJA - 04</t>
  </si>
  <si>
    <t>DC-POA-CONMAR-06 | DC-POA-DCAF07 | DC-POA-GARYXIII-04 | DC-POA-HAG-SF4 | SJ-DC-AUG-06 | SJ-DC-DD-01 | SJ-Magic Item Table A</t>
  </si>
  <si>
    <t>DMG 173</t>
  </si>
  <si>
    <t>F40-41</t>
  </si>
  <si>
    <t>DDHC-CM-Ch-14 | DDHC-JRC-Ch-10 | DDHC-OotA-Ch-10 | DDAL4-03 | DDHC-TYP-Ch-3 | DDAL08-03 | DDHC-WDH-Ch-2 | DDHC-WDH-Ch-2 | DDHC-DIA-Ch-3b | CCC-AETHER02-01 | CCC-GHC-BK2-07 | CCC-NBDD01-02 | CCC-NUKE-01-04 | DDHC-RotFM-Ch-3 | WBW-DC-CONMAR-01 | WBW-DC-UCON-01 | SJ-Magic Item Table A</t>
  </si>
  <si>
    <t>F83</t>
  </si>
  <si>
    <t>DDEX1-6 | DDAL05-16 | DDEP07-02-T1 | DDHC-WDH-Ch-4 | DDHC-DMM-Lvl-8 | DDHC-DIA-Ch-1 | DDEP10-01</t>
  </si>
  <si>
    <t>Hellfire Weapon</t>
  </si>
  <si>
    <t>BGDIA 223</t>
  </si>
  <si>
    <t>Hellfire Weapon, Battleaxe</t>
  </si>
  <si>
    <t>Hellfire Weapon, Blowgun</t>
  </si>
  <si>
    <t>Hellfire Weapon, Club</t>
  </si>
  <si>
    <t>Hellfire Weapon, Dagger</t>
  </si>
  <si>
    <t>Hellfire Weapon, Dart</t>
  </si>
  <si>
    <t>Hellfire Weapon, Flail</t>
  </si>
  <si>
    <t>Hellfire Weapon, Glaive</t>
  </si>
  <si>
    <t>Hellfire Weapon, Greataxe</t>
  </si>
  <si>
    <t>Hellfire Weapon, Greatclub</t>
  </si>
  <si>
    <t>Hellfire Weapon, Greatsword</t>
  </si>
  <si>
    <t>DDHC-DIA-Ch-3b</t>
  </si>
  <si>
    <t>Hellfire Weapon, Halberd</t>
  </si>
  <si>
    <t>Hellfire Weapon, Hand Crossbow</t>
  </si>
  <si>
    <t>Hellfire Weapon, Handaxe</t>
  </si>
  <si>
    <t>Hellfire Weapon, Heavy Crossbow</t>
  </si>
  <si>
    <t>Hellfire Weapon, Javelin</t>
  </si>
  <si>
    <t>Hellfire Weapon, Lance</t>
  </si>
  <si>
    <t>Hellfire Weapon, Light Crossbow</t>
  </si>
  <si>
    <t>Hellfire Weapon, Light Hammer</t>
  </si>
  <si>
    <t>Hellfire Weapon, Longbow</t>
  </si>
  <si>
    <t>Hellfire Weapon, Longsword</t>
  </si>
  <si>
    <t>Hellfire Weapon, Mace</t>
  </si>
  <si>
    <t>Hellfire Weapon, Maul</t>
  </si>
  <si>
    <t>Hellfire Weapon, Morningstar</t>
  </si>
  <si>
    <t>Hellfire Weapon, Net</t>
  </si>
  <si>
    <t>Hellfire Weapon, Pike</t>
  </si>
  <si>
    <t>Hellfire Weapon, Quarterstaff</t>
  </si>
  <si>
    <t>Hellfire Weapon, Rapier</t>
  </si>
  <si>
    <t>Hellfire Weapon, Scimitar</t>
  </si>
  <si>
    <t>Hellfire Weapon, Shortbow</t>
  </si>
  <si>
    <t>Hellfire Weapon, Shortsword</t>
  </si>
  <si>
    <t>Hellfire Weapon, Sickle</t>
  </si>
  <si>
    <t>Hellfire Weapon, Sling</t>
  </si>
  <si>
    <t>Hellfire Weapon, Spear</t>
  </si>
  <si>
    <t>Hellfire Weapon, Staff</t>
  </si>
  <si>
    <t>Hellfire Weapon, Trident</t>
  </si>
  <si>
    <t>Hellfire Weapon, War Pick</t>
  </si>
  <si>
    <t>Hellfire Weapon, Warhammer</t>
  </si>
  <si>
    <t>DDHC-DIA-Ch-3</t>
  </si>
  <si>
    <t>Hellfire Weapon, Whip</t>
  </si>
  <si>
    <t>Hellfire Weapon, Yklwa</t>
  </si>
  <si>
    <t>B89</t>
  </si>
  <si>
    <t>DDHC-CM-Ch-2 | CCC-ALMOG-25-SALT01-05 | CCC-ALMOG-ESC03-01 | CCC-DWB-ESR-01 | CCC-DWB-TRM-1 | CCC-KUMORI-03-03 | CCC-MMT-01-01 | CCC-OA-01-01 | CCC-RCC-01-01 | CCC-UCON02-01</t>
  </si>
  <si>
    <t>DMG 174</t>
  </si>
  <si>
    <t>F84</t>
  </si>
  <si>
    <t>DDHC-ToA-1-Ch-3 | DDAL09-15 | DDEP09-01 | DDHC-DIA-Ch-3 | CCC-AN-01 | CCC-GHC-BK1-07 | DDHC-RotFM-Ch-2 | DC-POA-CJK | DC-POA-CONMAR-16 | DC-POA-DRAGON-01 | DC-POA-PM01 | DC-POA-PND-4 | DC-POA-TDG01-06 | DC-POA-TDG01-09 | DDHC-WBW-Ch-2</t>
  </si>
  <si>
    <t>Helm of Underwater Action</t>
  </si>
  <si>
    <t>DDHC-GSM-Ch-3 | DDHC-GSM-Ch-7</t>
  </si>
  <si>
    <t>DMG 175</t>
  </si>
  <si>
    <t>B90</t>
  </si>
  <si>
    <t>DDHC-GSM-Ch-7 | DDHC-DoIP-Ch-14 | DDHC-PotA-Ch-4 | DDHC-ToA-1-Ch-3 | CCC-ALMOG-28 DAGON01-03 | CCC-ARCANA-01 | CCC-CENTRIC-01-03 | CCC-COTN-01-01 | CCC-DWB-AF-1 | CCC-DWB-CW-01 | CCC-RCC-01-02 | CCC-RPSG-06 | CCC-RPSG-07 | CCC-SAC-03 | CCC-TAROT-S1-01 | CCC-TRI-16 | CCC-WWC-10 | CCC-WYC-INTRO-01 | CCC-WYC-INTRO-02 | CCC-YLRA-SDCC01-1</t>
  </si>
  <si>
    <t>HotDQ p. 94</t>
  </si>
  <si>
    <t>BMG-MOONEP-MD-01 | DDHC-HotDQ-Ch-8</t>
  </si>
  <si>
    <t>Instrument of the Bards, Doss Lute</t>
  </si>
  <si>
    <t>DMG 176</t>
  </si>
  <si>
    <t>F85</t>
  </si>
  <si>
    <t>DDHC-CoS-Ch-4 | DDHC-CoS-Ch-4 | CCC-MALTH-002 | CCC-MALTH-002 | WBW-DC-ARCON-04 | WBW-DC-DCAF02 | WBW-DC-JOQ-03 | WBW-DC-JSH-LIB-03 | WBW-DC-LAB-01 | WBW-DC-MOR-01 | WBW-DC-NBDD-02 | WBW-Magic Item Table A | WBW-DC-HBK-1 | WBW-DC-ZEP-T1S1 | WBW-DC-ZODIAC-01 | WBW-DC-ARCON-04 | WBW-DC-DCAF02 | WBW-DC-JOQ-03 | WBW-DC-JSH-LIB-03 | WBW-DC-LAB-01 | WBW-DC-MOR-01 | WBW-DC-NBDD-02 | WBW-Magic Item Table A | WBW-DC-HBK-1 | WBW-DC-ZEP-T1S1 | WBW-DC-ZODIAC-01</t>
  </si>
  <si>
    <t>Instrument of the Bards, Fochlucan Bandore</t>
  </si>
  <si>
    <t>F86</t>
  </si>
  <si>
    <t>DDAL09-16</t>
  </si>
  <si>
    <t>Instrument of the Bards, Mac-Fuirmidh Cittern</t>
  </si>
  <si>
    <t>F87</t>
  </si>
  <si>
    <t>CCC-GSP-01-01 | CCC-THENT01-03 | CCC-THENT01-03</t>
  </si>
  <si>
    <t>javelin</t>
  </si>
  <si>
    <t>DMG 178</t>
  </si>
  <si>
    <t>F42-43</t>
  </si>
  <si>
    <t>DDEP3-T1 | DDHC-TYP-Ch-6 | DDHC-TYP-Ch-6 | DDAL08-05 | DDHC-DIA-02 | CCC-BFG01-03 | CCC-BMG-MOON6-3 | CCC-GAD02-02 | CCC-MACE01-02 | CCC-SAC-04 | CCC-SFBAY-04-01 | SJ-DC-DD-04 | SJ-DC-FLUMPH-01 | SJ-DC-ISL-01 | SJ-Magic Item Table A</t>
  </si>
  <si>
    <t>DMG 179</t>
  </si>
  <si>
    <t>B68-70</t>
  </si>
  <si>
    <t>DDEX1-7 | DDHC-ToA-1-Appendix | DDHC-TOA-13 | CCC-ELO-01</t>
  </si>
  <si>
    <t>B91</t>
  </si>
  <si>
    <t>DDHC-CM-Ch-7 | DDHC-KGV-Ch-6 | DDHC-OotA-Ch-9 | CCC-ARCON01-02 | CCC-BMG-08/HULB1-2 | CCC-BMG-32/PHLAN3-2 | CCC-CONMAR01-01 | CCC-DRUIDS-03 | CCC-DWB-EoG-1 | CCC-DWB-Q01 | CCC-HERO-BK-02-04 | CCC-KKALGO-02-01 | CCC-MALTH-001 | CCC-MELB-02 | CCC-PPTDD01-01 | CCC-RPSG-04 | CCC-UNITE-AN-04 | CCC-ZIEGE-04-01 | CCC-AWE-01-02</t>
  </si>
  <si>
    <t>DMG 181</t>
  </si>
  <si>
    <t>B92</t>
  </si>
  <si>
    <t>DDHC-GSM-Ch-2 | DRW-09 | DDHC-PotA-Ch-5 | DDHC-DMM-Lvl-19 | CCC-MMT-01-02 | CCC-AETHER01-02 | DDEP10-00</t>
  </si>
  <si>
    <t>Mariner's Armor, Breastplate</t>
  </si>
  <si>
    <t>CCC-MMT-01-02 | CCC-AETHER01-02</t>
  </si>
  <si>
    <t>Mariner's Armor, Chain Mail</t>
  </si>
  <si>
    <t>Mariner's Armor, Chain Shirt</t>
  </si>
  <si>
    <t>Mariner's Armor, Half-Plate</t>
  </si>
  <si>
    <t>Mariner's Armor, Hide</t>
  </si>
  <si>
    <t>Mariner's Armor, Leather</t>
  </si>
  <si>
    <t>Mariner's Armor, Padded</t>
  </si>
  <si>
    <t>Mariner's Armor, Plate</t>
  </si>
  <si>
    <t>Mariner's Armor, Ring Mail</t>
  </si>
  <si>
    <t>Mariner's Armor, Scale Mail</t>
  </si>
  <si>
    <t>DDHC-GSM-Ch-2 | DDHC-DMM-Lvl-19</t>
  </si>
  <si>
    <t>Mariner's Armor, Splint</t>
  </si>
  <si>
    <t>Mariner's Armor, Studded Leather</t>
  </si>
  <si>
    <t>DRW-09</t>
  </si>
  <si>
    <t>ToA 207</t>
  </si>
  <si>
    <t>DRW-INT-04 | DDHC-ToA-1-Ch-2</t>
  </si>
  <si>
    <t>Medallion of Thoughts</t>
  </si>
  <si>
    <t>F88</t>
  </si>
  <si>
    <t>DDEX2-16 | DC-POA-CONMAR-13 | DC-POA-DCAF10 | DC-POA-DRAGON-03 | DC-POA-TCW-ACW-2</t>
  </si>
  <si>
    <t>Mithral Armor</t>
  </si>
  <si>
    <t>DMG 182</t>
  </si>
  <si>
    <t>B93</t>
  </si>
  <si>
    <t>DDHC-GSM-Ch-5 | DDHC-KGV-Ch-11 | DDHC-RotFM-Ch-2 | DC-POA-CBB-05 | DC-POA-CONMAR-18 | DC-POA-DRAGON-02 | DC-POA-GARYXIII-02 | DC-POA-INAS-02 | DC-POA-TCW-ACW-5 | DC-POA-TDG01-08 | DC-POA-CONMAR-04 | DC-POA-DCAFCG01 | DC-POA-ROG-1 | DC-POA-TCW-ACW-3 | DC-POA-TDG01-07</t>
  </si>
  <si>
    <t>Mithral Armor, Breastplate</t>
  </si>
  <si>
    <t>DDHC-ToA-1-Ch-2 | DDHC-TOA-8</t>
  </si>
  <si>
    <t>Mithral Armor, Chain Mail</t>
  </si>
  <si>
    <t>DDHC-DoIP-Ch-2</t>
  </si>
  <si>
    <t>Mithral Armor, Chain Shirt</t>
  </si>
  <si>
    <t>Mithral Armor, Half-Plate</t>
  </si>
  <si>
    <t>CCC-GLIP-01-03</t>
  </si>
  <si>
    <t>Mithral Armor, Plate</t>
  </si>
  <si>
    <t>DDHC-MORD-01</t>
  </si>
  <si>
    <t>Mithral Armor, Ring Mail</t>
  </si>
  <si>
    <t>Mithral Armor, Scale Mail</t>
  </si>
  <si>
    <t>CCC-ODFC03-01 | CCC-ODFC03-01</t>
  </si>
  <si>
    <t>Mithral Armor, Splint</t>
  </si>
  <si>
    <t>DDAL05-04 | CCC-GSP-OOZE01-01</t>
  </si>
  <si>
    <t>WBW-DC-BIRE-04 | WBW-DC-FEN-03 | WBW-DC-JSH-LIB-01 | WBW-DC-THAL-02 | WBW-DC-TMP-01 | WBW-DC-ZODIAC-02 | WBW-Magic Item Table A | WBW-DC-GC14-02 | WBW-DC-JOQ-01 | WBW-DC-LSN-03 | WBW-DC-MEM-01</t>
  </si>
  <si>
    <t>F89</t>
  </si>
  <si>
    <t>DDHC-JRC-Ch-9 | DDHC-OotA-Ch-13 | DDEP09-01 | CCC-MWGF-01 | CCC-RPSG-02</t>
  </si>
  <si>
    <t>DDHC-TYP-Ch-1</t>
  </si>
  <si>
    <t>Orc Stone</t>
  </si>
  <si>
    <t>specific recipient</t>
  </si>
  <si>
    <t>RotF</t>
  </si>
  <si>
    <t>DDHC-RotFM-Character Creation</t>
  </si>
  <si>
    <t>Paper Bird</t>
  </si>
  <si>
    <t>WDH 191</t>
  </si>
  <si>
    <t>alcc B</t>
  </si>
  <si>
    <t>DDHC-WDH-Ch-1</t>
  </si>
  <si>
    <t>DMG 184</t>
  </si>
  <si>
    <t>F44-45</t>
  </si>
  <si>
    <t>DDHC-GSM-Ch-3 | DRW-13 | DDHC-PotA-Ch-5 | DDEP3-T1 | 5DDHC-SKT-Ch-10 | DDHC-TYP-Ch-6 | DDAL07-05 | DDHC-ToA-1-Ch-5 | CCC-BMG-MOON13-2 | CCC-DDSC-01 | CCC-DWB-DFT-1 | CCC-EPI01-01 | CCC-THENT01-01 | DDHC-RotFM-Ch-1 | WBW-DC-AMQ-03 | WBW-DC-ARCON-01 | WBW-DC-HF-01 | WBW-DC-PHP-HOE-01 | WBW-DC-SQT-01 | WBW-DC-TBLCMB-03 | SJ-DC-ANGKA-03 | SJ-DC-NCH-01 | SJ-DC-SYL-01 | SJ-Magic Item Table A</t>
  </si>
  <si>
    <t>C99</t>
  </si>
  <si>
    <t>DDHC-JRC-Ch-3 | DDAL09-04 | CCC-AN-02 | CCC-BMG-MOON4-3 | CCC-TAROT01-03 | CCC-YLRA-SDCC01-3 | SJ-Magic Item Table A</t>
  </si>
  <si>
    <t>F90</t>
  </si>
  <si>
    <t>DDEP5-2-T1 | DDHC-TYP-Ch-3 | DDEP08-02-T1 | DDHC-DIA-01 | CCC-BLD-01-01 | CCC-BMG-11/HILL1-2 | CCC-BMG-MOON3-1 | CCC-GHC-BK1-08 | CCC-SALT02-01 | CCC-THENT01-02</t>
  </si>
  <si>
    <t>DMG 185</t>
  </si>
  <si>
    <t>F91</t>
  </si>
  <si>
    <t>DDHC-MORD-01 | DDHC-CoS-Ch-10 | CCC-MACE01-01 | DDHC-WBW-Ch-2</t>
  </si>
  <si>
    <t>F92</t>
  </si>
  <si>
    <t>DDHC-XGE-01 | DDEX3-6 | DDHC-TYP-Ch-6 | DDHC-DIA-Ch-1</t>
  </si>
  <si>
    <t>Piwafwi</t>
  </si>
  <si>
    <t>OotA 222</t>
  </si>
  <si>
    <t>DDHC-OotA-Ch-10 | DDHC-OotA-Ch-12 | DDHC-DMM-Lvl-10 | DDHC-RotFM-Ch-3</t>
  </si>
  <si>
    <t>WBtW 212</t>
  </si>
  <si>
    <t>Propeller Helm</t>
  </si>
  <si>
    <t>small humanoid</t>
  </si>
  <si>
    <t>DDHC-DMM-Lvl-19 | DC-POA-DCAF03 | DC-POA-MDV01 | DC-POA-RED-01</t>
  </si>
  <si>
    <t>DMG 189</t>
  </si>
  <si>
    <t>F97</t>
  </si>
  <si>
    <t>DDHC-KGV-Ch-12 | DDHC-TOA-13 | CCC-GHC-BK1-01 | CCC-HATMS01-01 | CCC-SALT01-03 | CCC-TRI-12 | DDHC-RotFM-Ch-2 | DC-POA-CBB-06 | DC-POA-CONMAR-10 | DC-POA-CTH1 | DC-POA-DCAF06 | DC-POA-MB-01 | DC-POA-OGG-02 | DC-POA-SAD-ODW | DC-POA-SSM-01 | DC-POA-TCW-ACW-1 | DC-POA-ZL-01 | DDHC-WBW-Ch-4</t>
  </si>
  <si>
    <t>Ring</t>
  </si>
  <si>
    <t>DMG 191</t>
  </si>
  <si>
    <t>F93</t>
  </si>
  <si>
    <t>DDHC-JRC-Ch-3 | DDHC-KGV-Ch-3 | DDAL05-10 | DDEP07-02-T1 | DDHC-ToA-1-Ch-2 | DDHC-DIA-02 | CCC-DDSC-02 | DC-POA-CODEX-02 | DC-POA-CONMAR-08 | DC-POA-GSP02-02H | DC-POA-LEGIT-SV-02 | DC-POA-OGG-01 | DC-POA-PM04 | DC-POA-TDG01-04 | DC-POA-WC-02</t>
  </si>
  <si>
    <t>F94</t>
  </si>
  <si>
    <t>DDAL-VOLO | DDHC-KGV-Ch-11 | DDEX2-6 | DDHC-TYP-Ch-6 | DDAL08-04 | CCC-BMG-26/CORE3-2 | CCC-BMG-MOON5-3 | CCC-GARY-15 | CCC-GHC-BK2-06 | CCC-MTL-02 | CCC-TRI-33</t>
  </si>
  <si>
    <t>DMG 193</t>
  </si>
  <si>
    <t>B95</t>
  </si>
  <si>
    <t>DDHC-CM-Ch-4 | DDHC-PotA-Ch-5 | DDAL05-06 | DDHC-DMM-Lvl-2 | CCC-ALMOG-27-DAGON01-02</t>
  </si>
  <si>
    <t>WDH 192</t>
  </si>
  <si>
    <t>DDHC-WDH-Ch-2 | DC-POA-AMAK01 | DC-POA-CONMAR-15 | DC-POA-COULEE21-01 | DC-POA-CTH2 | DC-POA-SNIPE-01 | DC-POA-SUNLIT-03</t>
  </si>
  <si>
    <t>F95</t>
  </si>
  <si>
    <t>DDHC-JRC-Ch-6 | DDHC-CoS-Ch-5 | DDHC-WDH-Ch-4 | DDAL09-18 | CCC-CIC-16 | CCC-ELF – 01 | CCC-GHC-04 | CCC-WWC-05 | DDHC-RotFM-Ch-1</t>
  </si>
  <si>
    <t>F96</t>
  </si>
  <si>
    <t>BMG-MOONEP-MD-01 | DDEX2-7 | DDHC-OotA-Ch-4 | DDEP08-02-T2</t>
  </si>
  <si>
    <t>Robe of Serpents</t>
  </si>
  <si>
    <t>SKT 236</t>
  </si>
  <si>
    <t>5DDHC-SKT-Ch-11</t>
  </si>
  <si>
    <t>DMG 195</t>
  </si>
  <si>
    <t>B96</t>
  </si>
  <si>
    <t>DDHC-CoS-Ch-13 | DDHC-SKT-Ch-3 | CCC-GSP-PHIL01-03 | CCC-KUMORI-01-02 | CCC-TAROT01-01 | DDAL10-04</t>
  </si>
  <si>
    <t>B97</t>
  </si>
  <si>
    <t>DDEP08-03-T1 | DDHC-DMM-Lvl-4 | CCC-BMG-MOON4-1 | CCC-QCC2019-01 | CCC-SCAR02-01 | DDEP10-00 | SJ-DC-EBAL-SPKY-02 | SJ-Magic Item Table A</t>
  </si>
  <si>
    <t>DMG 199</t>
  </si>
  <si>
    <t>B98</t>
  </si>
  <si>
    <t>DDHC-CM-Ch-3 | CCC-CENTRIC-01-02 | CCC-GAD01-02 | CCC-GHC-BK2-01 | CCC-HERO-BK-02-01 | CCC-REAP-01</t>
  </si>
  <si>
    <t>Seeker Dart</t>
  </si>
  <si>
    <t>dart</t>
  </si>
  <si>
    <t>PotA 223</t>
  </si>
  <si>
    <t>DDHC-PotA-Ch-4</t>
  </si>
  <si>
    <t>C00</t>
  </si>
  <si>
    <t>DDHC-DoIP-Ch-5 | DDHC-KGV-Ch-6 | DDHC-DMM-Lvl-19 | CCC-BMG-12/HILL1-3 | CCC-CIC-04 | DDAL10-02</t>
  </si>
  <si>
    <t>F19-21</t>
  </si>
  <si>
    <t>DDHC-MORD-03 | DDHC-CGB | DRW-INT-02 | DDEX2-12 | DDHC-DMM-Lvl-6 | CCC-WWC-07</t>
  </si>
  <si>
    <t>scale mail</t>
  </si>
  <si>
    <t>CM 98</t>
  </si>
  <si>
    <t>DDHC-CM-Ch-7</t>
  </si>
  <si>
    <t>Slippers of Spider Climbing</t>
  </si>
  <si>
    <t>F48-49</t>
  </si>
  <si>
    <t>DDHC-JRC-Ch-12 | CCC-MTL-03 | WBW-DC-AMQ-02 | WBW-DC-EBAL-MEF0 | WBW-DC-JOQ-02 | WBW-DC-KCB-05 | WBW-DC-PHP-TCOM2 | WBW-Magic Item Table A | WBW-DC-BIRE-02</t>
  </si>
  <si>
    <t>FTD 27</t>
  </si>
  <si>
    <t>Slumbering Dragon-Touched Focus</t>
  </si>
  <si>
    <t>FTD 26</t>
  </si>
  <si>
    <t>Slumbering Dragon's Wrath Weapon, Generic</t>
  </si>
  <si>
    <t>FTD 25</t>
  </si>
  <si>
    <t>Slumbering Scaled Ornament</t>
  </si>
  <si>
    <t>Spellwrought Tattoo, 2nd Level</t>
  </si>
  <si>
    <t>Spellwrought Tattoo, 3rd Level</t>
  </si>
  <si>
    <t>Staff of the Adder</t>
  </si>
  <si>
    <t>cleric, druid, or warlock</t>
  </si>
  <si>
    <t>DMG 203</t>
  </si>
  <si>
    <t>F50-51</t>
  </si>
  <si>
    <t>CCC-SRCC01-03</t>
  </si>
  <si>
    <t>DMG 204</t>
  </si>
  <si>
    <t>F52-53</t>
  </si>
  <si>
    <t>DDHC-JRC-Ch-9 | DDHC-ToA-1-Ch-5 | CCC-BMG-MOON7-1 | CCC-GARY-03 | CCC-GSP02-02</t>
  </si>
  <si>
    <t>DMG 205</t>
  </si>
  <si>
    <t>F98</t>
  </si>
  <si>
    <t>DDAL00-02B | DDAL00-11b | DDHC-JRC-Ch-8 | DDHC-KGV-Ch-5 | DDEP4-T1 | DDHC-CoS-Ch-10 | DDHC-TYP-Ch-4 | CCC-BMG-31/PHLAN3-1 | CCC-DWB-TFG-1 | CCC-HATMS02-03 | CCC-SCAR01-02 | DDHC-RotFM-Ch-7</t>
  </si>
  <si>
    <t>Stone of Ill Luck</t>
  </si>
  <si>
    <t>TYP 229</t>
  </si>
  <si>
    <t>DMG 206</t>
  </si>
  <si>
    <t>F54-55</t>
  </si>
  <si>
    <t>DDHC-TYP-Ch-7 | DDHC-TYP-Ch-6 | CCC-GARY-08 | CCC-HATMS01-02 | CCC-MACE01-03</t>
  </si>
  <si>
    <t>Sword of Vengeance, Greatsword</t>
  </si>
  <si>
    <t>Sword of Vengeance, Longsword</t>
  </si>
  <si>
    <t>CCC-MACE01-03 | CCC-GARY-08 | CCC-HATMS01-02</t>
  </si>
  <si>
    <t>Sword of Vengeance, Rapier</t>
  </si>
  <si>
    <t>Sword of Vengeance, Scimitar</t>
  </si>
  <si>
    <t>Sword of Vengeance, Shortsword</t>
  </si>
  <si>
    <t>trident</t>
  </si>
  <si>
    <t>DMG 209</t>
  </si>
  <si>
    <t>F56-57</t>
  </si>
  <si>
    <t>DDHC-PotA-Ch-5 | 5DDHC-SKT-Ch-10 | CCC-TAROT02-08 | CCC-WWC-02</t>
  </si>
  <si>
    <t>Wand of Entangle</t>
  </si>
  <si>
    <t>DMG 211</t>
  </si>
  <si>
    <t>B99</t>
  </si>
  <si>
    <t>DDEX1-2 | DDHC-DMM-Lvl-15 | CCC-AETHER-02-03 | CCC-MELB-01</t>
  </si>
  <si>
    <t>F58-59</t>
  </si>
  <si>
    <t>DDHC-KGV-Ch-11 | DDHC-KGV-Ch-3 | DDHC-TYP-Ch-2 | DDHC-TOA-12 | DDHC-DIA-Ch-3 | CCC-BMG-09/HULB1-3 | CCC-GARY-02 | CCC-SKULL01-02 | CCC-TAROT02-09 | CCC-WWC-01</t>
  </si>
  <si>
    <t>B00</t>
  </si>
  <si>
    <t>DDHC-DoIP-Ch-12 | DDHC-CoS-Ch-13 | DDHC-ToA-1-Appendix | DDAL08-01 | DDHC-WDH-Ch-2 | DDHC-DMM-Lvl-1 | DDAL09-14 | DDHC-DIA-Ch-3a | CCC-COS-02-01 | CCC-GHC-BK2-04 | CCC-MMT-01-03 | CCC-SQC-03-01 | CCC-YLRA-SDCC01-2</t>
  </si>
  <si>
    <t>F62-63</t>
  </si>
  <si>
    <t>DDAL05-07 | CCC-GHC-BK03-05 | CCC-UNITE-05 | DDHC-WBW-Ch-4</t>
  </si>
  <si>
    <t>Weapon of Warning</t>
  </si>
  <si>
    <t>DMG 213</t>
  </si>
  <si>
    <t>F64-65</t>
  </si>
  <si>
    <t>DDHC-DoIP-Ch-12 | CCC-BFG01-01 | CCC-BMG-MOON3-3 | CCC-BWM-04-01 | CCC-ELF-03-01 | CCC-EPI01-02 | CCC-TRI-34 | CCC-VOTE-01-01</t>
  </si>
  <si>
    <t>Weapon of Warning, Battleaxe</t>
  </si>
  <si>
    <t>Weapon of Warning, Blowgun</t>
  </si>
  <si>
    <t>Weapon of Warning, Club</t>
  </si>
  <si>
    <t>WBW-DC-MIKE-01 | WBW-DC-DEN-H2</t>
  </si>
  <si>
    <t>Weapon of Warning, Dagger</t>
  </si>
  <si>
    <t>Weapon of Warning, Dart</t>
  </si>
  <si>
    <t>Weapon of Warning, Flail</t>
  </si>
  <si>
    <t>Weapon of Warning, Glaive</t>
  </si>
  <si>
    <t>CCC-EPI01-02</t>
  </si>
  <si>
    <t>Weapon of Warning, Greataxe</t>
  </si>
  <si>
    <t>Weapon of Warning, Greatclub</t>
  </si>
  <si>
    <t>Weapon of Warning, Greatsword</t>
  </si>
  <si>
    <t>CCC-BMG-MOON3-3</t>
  </si>
  <si>
    <t>Weapon of Warning, Halberd</t>
  </si>
  <si>
    <t>Weapon of Warning, Hand Crossbow</t>
  </si>
  <si>
    <t>Weapon of Warning, Handaxe</t>
  </si>
  <si>
    <t>Weapon of Warning, Heavy Crossbow</t>
  </si>
  <si>
    <t>Weapon of Warning, Javelin</t>
  </si>
  <si>
    <t>CCC-VOTE-01-01</t>
  </si>
  <si>
    <t>Weapon of Warning, Lance</t>
  </si>
  <si>
    <t>Weapon of Warning, Light Crossbow</t>
  </si>
  <si>
    <t>Weapon of Warning, Light Hammer</t>
  </si>
  <si>
    <t>Weapon of Warning, Longbow</t>
  </si>
  <si>
    <t>CCC-HERO-BK03-02</t>
  </si>
  <si>
    <t>Weapon of Warning, Longsword</t>
  </si>
  <si>
    <t>CCC-BFG01-01</t>
  </si>
  <si>
    <t>Weapon of Warning, Mace</t>
  </si>
  <si>
    <t>Weapon of Warning, Maul</t>
  </si>
  <si>
    <t>Weapon of Warning, Morningstar</t>
  </si>
  <si>
    <t>Weapon of Warning, Net</t>
  </si>
  <si>
    <t>CCC-ELF-03-01</t>
  </si>
  <si>
    <t>Weapon of Warning, Pike</t>
  </si>
  <si>
    <t>Weapon of Warning, Quarterstaff</t>
  </si>
  <si>
    <t>Weapon of Warning, Rapier</t>
  </si>
  <si>
    <t>Weapon of Warning, Scimitar</t>
  </si>
  <si>
    <t>CCC-BWM-04-01</t>
  </si>
  <si>
    <t>Weapon of Warning, Shortbow</t>
  </si>
  <si>
    <t>Weapon of Warning, Shortsword</t>
  </si>
  <si>
    <t>Weapon of Warning, Sickle</t>
  </si>
  <si>
    <t>Weapon of Warning, Sling</t>
  </si>
  <si>
    <t>Weapon of Warning, Spear</t>
  </si>
  <si>
    <t>Weapon of Warning, Staff</t>
  </si>
  <si>
    <t>Weapon of Warning, Trident</t>
  </si>
  <si>
    <t>DDEX2-3 | CCC-TRI-34</t>
  </si>
  <si>
    <t>Weapon of Warning, War Pick</t>
  </si>
  <si>
    <t>Weapon of Warning, Warhammer</t>
  </si>
  <si>
    <t>Weapon of Warning, Whip</t>
  </si>
  <si>
    <t>DDAL4-02</t>
  </si>
  <si>
    <t>Weapon of Warning, Yklwa</t>
  </si>
  <si>
    <t>CCC-PIPYAPS</t>
  </si>
  <si>
    <t>Wildspace Orrery</t>
  </si>
  <si>
    <t>AAG 23</t>
  </si>
  <si>
    <t>F99</t>
  </si>
  <si>
    <t>DDHC-JRC-Ch-12 | DDAL4-05</t>
  </si>
  <si>
    <t>DMG 214</t>
  </si>
  <si>
    <t>F00</t>
  </si>
  <si>
    <t>DDEP00-01-T1 | DDEX2-10 | DDEP08-03-T2 | CCC-BLD-01-02 | CCC-DES-01-05 | CCC-SEA-01-02 | CCC-SQC-03-02 | CCC-TAROT02-05 | DDHC-WBW-Ch-5</t>
  </si>
  <si>
    <t>Wingwear</t>
  </si>
  <si>
    <t>DDEX2-10 | DDEX2-13</t>
  </si>
  <si>
    <t>+1 Armor, Breastplate</t>
  </si>
  <si>
    <t>H60</t>
  </si>
  <si>
    <t>DDEP00-01-T2 | DDHC-LMOP-Ch-4 | DDHC-GSM-Ch-7 | DDHC-PotA-Ch-5 | DDHC-DMM-Lvl-7 | SJ-DC-LEGIT-SB-02</t>
  </si>
  <si>
    <t>+1 Armor, Chain Mail</t>
  </si>
  <si>
    <t>G30</t>
  </si>
  <si>
    <t>DDHC-HotDQ-Ch-7 | DDHC-TYP-Ch-4</t>
  </si>
  <si>
    <t>+1 Armor, Chain Shirt</t>
  </si>
  <si>
    <t>+1 Armor, Half-Plate</t>
  </si>
  <si>
    <t>I54-55</t>
  </si>
  <si>
    <t>DDEP4-T1 | SJ-DC-DEN-H6</t>
  </si>
  <si>
    <t>+1 Armor, Hide</t>
  </si>
  <si>
    <t>+1 Armor, Leather</t>
  </si>
  <si>
    <t>G56</t>
  </si>
  <si>
    <t>DDHC-HotDQ-Ch-8 | DDHC-TYP-Ch-5 | DDEP07-01-T1 | DDEP07-01-T2 | CCC-BMG-21/HULB2-3</t>
  </si>
  <si>
    <t>+1 Armor, Padded</t>
  </si>
  <si>
    <t>+1 Armor, Plate</t>
  </si>
  <si>
    <t>I60-61</t>
  </si>
  <si>
    <t>DDEP4-T1 | DDHC-TYP-Ch-6 | DDHC-TYP-Ch-5 | DDHC-TYP-Ch-6 | DDHC-WDH-Ch-6 | DDHC-DMM-Lvl-7 | SJ-DC-DEN-H6 | SJ-DC-LEGIT-SB-02</t>
  </si>
  <si>
    <t>+1 Armor, Ring Mail</t>
  </si>
  <si>
    <t>+1 Armor, Scale Mail</t>
  </si>
  <si>
    <t>G77, I66-67</t>
  </si>
  <si>
    <t>DDHC-GSM-Ch-6 | DDHC-KGV-Ch-8</t>
  </si>
  <si>
    <t>+1 Armor, Splint</t>
  </si>
  <si>
    <t>H94</t>
  </si>
  <si>
    <t>DDEX1-12</t>
  </si>
  <si>
    <t>+1 Armor, Studded Leather</t>
  </si>
  <si>
    <t>H96</t>
  </si>
  <si>
    <t>DDHC-DIA-Ch-2 | CCC-BMG-21/HULB2-3</t>
  </si>
  <si>
    <t>+2 All-Purpose Tool</t>
  </si>
  <si>
    <t>+2 Amulet of the Devout</t>
  </si>
  <si>
    <t>TCE 119</t>
  </si>
  <si>
    <t>DRW-11</t>
  </si>
  <si>
    <t>+2 Arcane Grimoire</t>
  </si>
  <si>
    <t>+2 Bloodwell Vial</t>
  </si>
  <si>
    <t>+2 Dragonhide Belt</t>
  </si>
  <si>
    <t>+2 Moon Sickle</t>
  </si>
  <si>
    <t>WBW-DC-NJ-COU-02</t>
  </si>
  <si>
    <t>+2 Rhythm-Maker's Drum</t>
  </si>
  <si>
    <t>SJ-Magic Item Table C</t>
  </si>
  <si>
    <t>+2 Rod of the Pact Keeper</t>
  </si>
  <si>
    <t>G75</t>
  </si>
  <si>
    <t>DDHC-KGV-Ch-11 | DDEX3-13 | DDAL09-20</t>
  </si>
  <si>
    <t>+2 Shield</t>
  </si>
  <si>
    <t>G79</t>
  </si>
  <si>
    <t>DDEX2-14 | DDHC-TYP-Ch-2 | DDAL09-19 | CCC-ANIME-01-02</t>
  </si>
  <si>
    <t>+2 Wand of the War Mage</t>
  </si>
  <si>
    <t>G98</t>
  </si>
  <si>
    <t>CCC-ROZK01-1</t>
  </si>
  <si>
    <t>+2 Weapon, Battleaxe</t>
  </si>
  <si>
    <t>+2 Weapon, Blowgun</t>
  </si>
  <si>
    <t>+2 Weapon, Club</t>
  </si>
  <si>
    <t>+2 Weapon, Dagger</t>
  </si>
  <si>
    <t>DDHC-TYP-Ch-6 | DDHC-TYP-Ch-6 | CCC-GHC-06</t>
  </si>
  <si>
    <t>+2 Weapon, Dart</t>
  </si>
  <si>
    <t>+2 Weapon, Flail</t>
  </si>
  <si>
    <t>+2 Weapon, Glaive</t>
  </si>
  <si>
    <t>+2 Weapon, Greataxe</t>
  </si>
  <si>
    <t>DDEP3-T2 | DDHC-TYP-Ch-6 | DDHC-TYP-Ch-6 | DDHC-TYP-Ch-2</t>
  </si>
  <si>
    <t>+2 Weapon, Greatclub</t>
  </si>
  <si>
    <t>+2 Weapon, Greatsword</t>
  </si>
  <si>
    <t>DDHC-CoS-Ch-7 | CCC-GHC-08 | CCC-TRI-27 | SJ-DC-ANGKA-01</t>
  </si>
  <si>
    <t>+2 Weapon, Halberd</t>
  </si>
  <si>
    <t>+2 Weapon, Hand crossbow</t>
  </si>
  <si>
    <t>DDEP4-T2</t>
  </si>
  <si>
    <t>+2 Weapon, Handaxe</t>
  </si>
  <si>
    <t>+2 Weapon, Heavy Crossbow</t>
  </si>
  <si>
    <t>+2 Weapon, Javelin</t>
  </si>
  <si>
    <t>+2 Weapon, Lance</t>
  </si>
  <si>
    <t>+2 Weapon, Light Crossbow</t>
  </si>
  <si>
    <t>+2 Weapon, Light Hammer</t>
  </si>
  <si>
    <t>+2 Weapon, Longbow</t>
  </si>
  <si>
    <t>DDHC-CM-Ch-16 | DDEP5-2-T2 | CCC-GHC-09</t>
  </si>
  <si>
    <t>+2 Weapon, Longsword</t>
  </si>
  <si>
    <t>DDHC-OotA-Ch-13 | DDHC-TYP-Ch-6 | CCC-BWM-002 | CCC-GHC-BK1-05</t>
  </si>
  <si>
    <t>+2 Weapon, Mace</t>
  </si>
  <si>
    <t>DDHC-TYP-Ch-6 | DDHC-TYP-Ch-6</t>
  </si>
  <si>
    <t>+2 Weapon, Maul</t>
  </si>
  <si>
    <t>SJ-DC-DEN-H5</t>
  </si>
  <si>
    <t>+2 Weapon, Morningstar</t>
  </si>
  <si>
    <t>DDHC-TYP-Ch-6</t>
  </si>
  <si>
    <t>+2 Weapon, Pike</t>
  </si>
  <si>
    <t>+2 Weapon, Quarterstaff</t>
  </si>
  <si>
    <t>+2 Weapon, Rapier</t>
  </si>
  <si>
    <t>CCC-HAL-03</t>
  </si>
  <si>
    <t>+2 Weapon, Scimitar</t>
  </si>
  <si>
    <t>+2 Weapon, Shortbow</t>
  </si>
  <si>
    <t>+2 Weapon, Shortsword</t>
  </si>
  <si>
    <t>DDHC-OotA-Ch-5 | DDHC-TYP-Ch-6 | CCC-SFBAY-01-01</t>
  </si>
  <si>
    <t>+2 Weapon, Sickle</t>
  </si>
  <si>
    <t>+2 Weapon, Sling</t>
  </si>
  <si>
    <t>+2 Weapon, Spear</t>
  </si>
  <si>
    <t>+2 Weapon, Staff</t>
  </si>
  <si>
    <t>+2 Weapon, Trident</t>
  </si>
  <si>
    <t>CCC-CIC-12</t>
  </si>
  <si>
    <t>+2 Weapon, War Pick</t>
  </si>
  <si>
    <t>CCC-MYR-01</t>
  </si>
  <si>
    <t>+2 Weapon, Warhammer</t>
  </si>
  <si>
    <t>DDHC-OotA-Ch-4</t>
  </si>
  <si>
    <t>+2 Weapon, Whip</t>
  </si>
  <si>
    <t>+2 Weapon, Yklwa</t>
  </si>
  <si>
    <t>G17</t>
  </si>
  <si>
    <t>DDEP00-01-T2 | DRW-09 | DDEP1 | DDHC-PotA-Ch-3 | DDHC-ToA-1-Ch-5 | DDAL08-10 | CCC-GSP-NTHR01-01 | CCC-SFBAY-02-02 | DDHC-RotFM-Ch-2 | WBW-DC-SUNLIT-04</t>
  </si>
  <si>
    <t>Armor of Resistance, Breastplate</t>
  </si>
  <si>
    <t>H61</t>
  </si>
  <si>
    <t>Armor of Resistance, Chain mail</t>
  </si>
  <si>
    <t>G31</t>
  </si>
  <si>
    <t>Armor of Resistance, Chain Shirt</t>
  </si>
  <si>
    <t>G33</t>
  </si>
  <si>
    <t>Armor of Resistance, Half-Plate</t>
  </si>
  <si>
    <t>I83</t>
  </si>
  <si>
    <t>Armor of Resistance, Hide</t>
  </si>
  <si>
    <t>Armor of Resistance, Leather</t>
  </si>
  <si>
    <t>G57</t>
  </si>
  <si>
    <t>Armor of Resistance, Padded</t>
  </si>
  <si>
    <t>Armor of Resistance, Plate</t>
  </si>
  <si>
    <t>I90</t>
  </si>
  <si>
    <t>Armor of Resistance, Ring Mail</t>
  </si>
  <si>
    <t>Armor of Resistance, Scale mail</t>
  </si>
  <si>
    <t>G78</t>
  </si>
  <si>
    <t>Armor of Resistance, Splint</t>
  </si>
  <si>
    <t>Armor of Resistance, Studded Leather</t>
  </si>
  <si>
    <t>H97</t>
  </si>
  <si>
    <t>Armor of Vulnerability</t>
  </si>
  <si>
    <t>plate</t>
  </si>
  <si>
    <t>DMG 152</t>
  </si>
  <si>
    <t>G18</t>
  </si>
  <si>
    <t>DDHC-TYP-Ch-4 | DDHC-TYP-Ch-5 | DDHC-TYP-Ch-6</t>
  </si>
  <si>
    <t>Arrow-catching Shield</t>
  </si>
  <si>
    <t>G19</t>
  </si>
  <si>
    <t>DRW-EP-03 | DDHC-HotDQ-Ch-7 | DDHC-TYP-Ch-6 | DDAL09-08 | CCC-BMG-MOON13-3 | CCC-GLIP-02-01</t>
  </si>
  <si>
    <t>SJ-DC-BEB-01 | SJ-DC-DEN-H4 | SJ-DC-ECHO-01 | SJ-DC-LP-01 | SJ-DC-NBDD-01 | SJ-Magic Item Table C</t>
  </si>
  <si>
    <t>PO-BK2-02</t>
  </si>
  <si>
    <t>WDH 189</t>
  </si>
  <si>
    <t>DDHC-WDH-Ch-2</t>
  </si>
  <si>
    <t>C88-89</t>
  </si>
  <si>
    <t>DDHC-DIA-Ch-1 | SJ-DC-BBB-01 | SJ-Magic Item Table C</t>
  </si>
  <si>
    <t>SKT 233</t>
  </si>
  <si>
    <t>5DDHC-SKT-Ch-9</t>
  </si>
  <si>
    <t>Barrier Tattoo, Medium</t>
  </si>
  <si>
    <t>C90-91</t>
  </si>
  <si>
    <t>DDHC-ToA-1-Ch-5 | DDHC-DMM-Lvl-20</t>
  </si>
  <si>
    <t>druid or warlock</t>
  </si>
  <si>
    <t>WBW-DC-BIRE-05 | WBW-DC-CONMAR-08 | WBW-DC-PAW-01 | WBW-DC-TMP-03 | WBW-DC-ZODIAC-09 | WBW-Magic Item Table C</t>
  </si>
  <si>
    <t>G20</t>
  </si>
  <si>
    <t>DDEX2-4</t>
  </si>
  <si>
    <t>G21</t>
  </si>
  <si>
    <t>DDHC-RoT-Ch-4 | CCC-LINKS-01 | CCC-SFBAY-02-03</t>
  </si>
  <si>
    <t>Berserker Axe</t>
  </si>
  <si>
    <t>any axe</t>
  </si>
  <si>
    <t>G22</t>
  </si>
  <si>
    <t>DDHC-TYP-Ch-3 | DDHC-TYP-Ch-7 | CCC-UCON-01 | DDHC-RotFM-Ch-5</t>
  </si>
  <si>
    <t>Berserker Axe, Battleaxe</t>
  </si>
  <si>
    <t>Berserker Axe, Greataxe</t>
  </si>
  <si>
    <t>Berserker Axe, Handaxe</t>
  </si>
  <si>
    <t>Blod Stone</t>
  </si>
  <si>
    <t>5DDHC-SKT-Ch-7</t>
  </si>
  <si>
    <t>Boots of Levitation</t>
  </si>
  <si>
    <t>G23</t>
  </si>
  <si>
    <t>DDAL10-08 | SJ-Magic Item Table C</t>
  </si>
  <si>
    <t>G24</t>
  </si>
  <si>
    <t>DDHC-MORD-03 | DDHC-OotA-Ch-4 | DDAL06-02 | DDHC-DIA-01 | WBW-DC-PHP-HOE-02 | WBW-DC-PHP-PHAN-01 | WBW-DC-ROG-01 | WBW-DC-SUNLIT-05 | WBW-DC-UCON-02 | WBW-DC-ZION-02 | WBW-DC-ZODIAC-13 | WBW-Magic Item Table C | WBW-DC-AUG-01 | WBW-DC-CONMAR-14</t>
  </si>
  <si>
    <t>G25</t>
  </si>
  <si>
    <t>DRW-02 | DDHC-ToA-1-Ch-2 | DDAL09-07 | CCC-YLRA01-03</t>
  </si>
  <si>
    <t>Bracer of Flying Daggers</t>
  </si>
  <si>
    <t>WDH 190</t>
  </si>
  <si>
    <t>G26</t>
  </si>
  <si>
    <t>DRW-14 | DRW-EP-02 | DRW-OD-01 | DDHC-HotDQ-Ch-8 | DDAL4-14 | DDHC-SKT-Ch-2 | 5DDHC-SKT-Ch-9 | DDHC-TYP-Ch-3 | DDHC-TYP-Ch-5 | DDHC-TYP-Ch-7 | DDHC-ToA-1-Appendix | DDHC-DIA-Ch-2 | CCC-BMG-17/ELM1-2 | CCC-CIC-10 | WBW-DC-IDL-02 | WBW-DC-KCB-03 | WBW-DC-ZION-01 | WBW-DC-ZODIAC-06 | WBW-Magic Item Table C | DDHC-WBW-Ch-5</t>
  </si>
  <si>
    <t>G27</t>
  </si>
  <si>
    <t>DDHC-KGV-Ch-13 | DDHC-TYP-Ch-6 | CCC-SALT02-02 | CCC-WYC1-1</t>
  </si>
  <si>
    <t>G28</t>
  </si>
  <si>
    <t>DRW-05 | PO-BK-1-05 | DDAL4-07 | DDHC-WDH-Ch-8 | CCC-MAG01-03 | CCC-SALT-02-05</t>
  </si>
  <si>
    <t>Cauldron of Plenty</t>
  </si>
  <si>
    <t>DDHC-RotFM-Ch-1</t>
  </si>
  <si>
    <t>Censer of Controlling Air Elementals</t>
  </si>
  <si>
    <t>G29</t>
  </si>
  <si>
    <t>DDHC-CM-Ch-11</t>
  </si>
  <si>
    <t>Charm of Plant Command</t>
  </si>
  <si>
    <t>DDHC-GSM-Ch-7</t>
  </si>
  <si>
    <t>C92</t>
  </si>
  <si>
    <t>DDHC-CM-Ch-7 | DDHC-CM-Ch-8 | DRW-08 | DDHC-OotA-Ch-16 | DDEP08-02-T2 | DDEP08-02-T3 | DDHC-DMM-Lvl-20 | DDAL10-06 | DDHC-WBW-Ch-5</t>
  </si>
  <si>
    <t>Chromatic Rose, Black</t>
  </si>
  <si>
    <t>Chromatic Rose, Blue</t>
  </si>
  <si>
    <t>Chromatic Rose, Green</t>
  </si>
  <si>
    <t>Chromatic Rose, Red</t>
  </si>
  <si>
    <t>Chromatic Rose, White</t>
  </si>
  <si>
    <t>5DDHC-SKT-Ch-12</t>
  </si>
  <si>
    <t>Claws of the Umber Hulk</t>
  </si>
  <si>
    <t>PotA 222</t>
  </si>
  <si>
    <t>G34</t>
  </si>
  <si>
    <t>DDAL05-05 | CCC-SAC-02 | CCC-SFBAY-02-01 | WBW-DC-ZODIAC-13</t>
  </si>
  <si>
    <t>G35</t>
  </si>
  <si>
    <t>DDHC-MORD-01 | DDEP07-01-T2 | DDHC-DMM-Lvl-18 | CCC-BMG-44/PHLAN4-2 | CCC-CNE-03 | SJ-DC-DWR-01 | SJ-DC-HAPPY NEW YEAR | SJ-DC-LNS-01 | SJ-Magic Item Table C</t>
  </si>
  <si>
    <t>Crystal Blade, Greatsword</t>
  </si>
  <si>
    <t>FTD 22</t>
  </si>
  <si>
    <t>Crystal Blade, Longsword</t>
  </si>
  <si>
    <t>Crystal Blade, Rapier</t>
  </si>
  <si>
    <t>Crystal Blade, Scimitar</t>
  </si>
  <si>
    <t>Crystal Blade, Shortsword</t>
  </si>
  <si>
    <t>G36</t>
  </si>
  <si>
    <t>DDEP06-02-T2 | CCC-RPSG-03</t>
  </si>
  <si>
    <t>DMG 160</t>
  </si>
  <si>
    <t>G37</t>
  </si>
  <si>
    <t>DDHC-OotA-Ch-14 | DDHC-CoS-Ch-4 | CCC-ALMOG-ESC03-03 | CCC-BWM-007-03 | CCC-DWB-GNA-1 | CCC-SDREAM-01-03</t>
  </si>
  <si>
    <t>DMM 66</t>
  </si>
  <si>
    <t>G</t>
  </si>
  <si>
    <t>DDHC-DMM-Lvl-6</t>
  </si>
  <si>
    <t>dagger</t>
  </si>
  <si>
    <t>G38</t>
  </si>
  <si>
    <t>DDHC-JRC-Ch-13 | DDHC-HotDQ-Ch-6 | DDAL4-11 | DDAL05-17 | DDHC-TYP-Ch-5 | DDHC-DMM-Lvl-11 | CCC-CNE-006 | CCC-GARY-01</t>
  </si>
  <si>
    <t>Devotee's Censer</t>
  </si>
  <si>
    <t>DRW-OD-04</t>
  </si>
  <si>
    <t>DMG 165</t>
  </si>
  <si>
    <t>G39</t>
  </si>
  <si>
    <t>DDHC-JRC-Ch-13 | DDAL4-12 | DDHC-DIA-Ch-3a | CCC-SKULL01-03 | CCC-TRI-31</t>
  </si>
  <si>
    <t>Dodecahedron of Doom</t>
  </si>
  <si>
    <t>Dragon Slayer</t>
  </si>
  <si>
    <t>G40</t>
  </si>
  <si>
    <t>DDHC-PotA-Ch-5 | DDEP5-1-T1 | DDHC-TYP-Ch-6</t>
  </si>
  <si>
    <t>Dragon Slayer, Greatsword</t>
  </si>
  <si>
    <t>DDEP5-1-T1</t>
  </si>
  <si>
    <t>Dragon Slayer, Longsword</t>
  </si>
  <si>
    <t>Dragon Slayer, Rapier</t>
  </si>
  <si>
    <t>Dragon Slayer, Scimitar</t>
  </si>
  <si>
    <t>Dragon Slayer, Shortsword</t>
  </si>
  <si>
    <t>DDHC-PotA-Ch-5</t>
  </si>
  <si>
    <t>Dragon Wing Bow, Generic</t>
  </si>
  <si>
    <t>any bow or crossbow</t>
  </si>
  <si>
    <t>Dragon Wing Bow, Hand Crossbow</t>
  </si>
  <si>
    <t>Dragon Wing Bow, Heavy Crossbow</t>
  </si>
  <si>
    <t>Dragon Wing Bow, Light Crossbow</t>
  </si>
  <si>
    <t>Dragon Wing Bow, Longbow</t>
  </si>
  <si>
    <t>Dragon Wing Bow, Shortbow</t>
  </si>
  <si>
    <t>Dragontooth Dagger</t>
  </si>
  <si>
    <t>RoT p.93</t>
  </si>
  <si>
    <t>DRW-04 | DDHC-RoT-Ch-3</t>
  </si>
  <si>
    <t>PO-BK-1-02</t>
  </si>
  <si>
    <t>Elemental Essence Shard, Generic</t>
  </si>
  <si>
    <t>SJ-DC-ANGKA-02 | SJ-DC-AUG-07 | SJ-DC-LEGIT-SB-01 | SJ-Magic Item Table C</t>
  </si>
  <si>
    <t>chain shirt</t>
  </si>
  <si>
    <t>G41</t>
  </si>
  <si>
    <t>DDHC-PotA-Ch-4 | DDHC-PotA-Ch-5 | DDEP3-T2 | CCC-BMG-36/ELM2-3 | CCC-SQC-0202 | WBW-DC-AA-ASHALON-01 | WBW-DC-AEG-02 | WBW-DC-AMQ-05 | WBW-DC-ROOK-2-1 | WBW-DC-TEN-03 | WBW-DC-TMP-02 | WBW-DC-ZODIAC-12 | WBW-Magic Item Table C | WBW-DC-AH-01 | WBW-DC-CONMAR-12</t>
  </si>
  <si>
    <t>PO-BK-1-06</t>
  </si>
  <si>
    <t>Feather of Diatryma Summoning</t>
  </si>
  <si>
    <t>Figurine of Wondrous Power, Bronze Griffon</t>
  </si>
  <si>
    <t>DMG 169</t>
  </si>
  <si>
    <t>G12-14(1)</t>
  </si>
  <si>
    <t>DDHC-KGV-Ch-13</t>
  </si>
  <si>
    <t>Figurine of Wondrous Power, Ebony Fly</t>
  </si>
  <si>
    <t>G12-14(2)</t>
  </si>
  <si>
    <t>Figurine of Wondrous Power, Golden Lions</t>
  </si>
  <si>
    <t>G12-14(3)</t>
  </si>
  <si>
    <t>PO-BK2-04 | CCC-BWM-07-02 | CCC-FC3-01-02</t>
  </si>
  <si>
    <t>Figurine of Wondrous Power, Ivory Goats</t>
  </si>
  <si>
    <t>G12-14(4)</t>
  </si>
  <si>
    <t>CCC-BMG-16/ELM1-1 | CCC-DES01-01 | CCC-ZIEGE-01</t>
  </si>
  <si>
    <t>Figurine of Wondrous Power, Marble Elephant</t>
  </si>
  <si>
    <t>G12-14(5)</t>
  </si>
  <si>
    <t>CCC-ODFC03-03</t>
  </si>
  <si>
    <t>Figurine of Wondrous Power, Onyx Dog</t>
  </si>
  <si>
    <t>G12-14(6-7)</t>
  </si>
  <si>
    <t>DDHC-DMM-Lvl-15 | CCC-CIC-02 | CCC-GHC-BK2-09</t>
  </si>
  <si>
    <t>Figurine of Wondrous Power, Serpentine Owl</t>
  </si>
  <si>
    <t>G12-14(8)</t>
  </si>
  <si>
    <t>DDHC-KGV-Ch-12 | DDEX2-9 | 5DDHC-SKT-Ch-9 | CCC-SVH-01-01</t>
  </si>
  <si>
    <t>Flame Tongue</t>
  </si>
  <si>
    <t>G42</t>
  </si>
  <si>
    <t>DDAL00-02D | DDHC-KGV-Ch-10 | DRW-13 | DDHC-OotA-Ch-9 | 5DDHC-SKT-Ch-8 | DDHC-TYP-Ch-6 | DDHC-ToA-1-Ch-4 | DDHC-TOA-7 | DDHC-TOA-10 | CCC-BMG-20/HULB2-2 | CCC-WYC1-2 | CCC-YLRA01-02 | DDHC-WBW-Ch-5</t>
  </si>
  <si>
    <t>Flame Tongue, Greatsword</t>
  </si>
  <si>
    <t>5DDHC-SKT-Ch-8</t>
  </si>
  <si>
    <t>Flame Tongue, Longsword</t>
  </si>
  <si>
    <t>DDAL00-02D | DDHC-KGV-Ch-10 | DRW-13 | DDHC-ToA-1-Ch-4 | CCC-BMG-20/HULB2-2 | DDHC-WBW-Ch-5</t>
  </si>
  <si>
    <t>Flame Tongue, Rapier</t>
  </si>
  <si>
    <t>Flame Tongue, Scimitar</t>
  </si>
  <si>
    <t>DDHC-TOA-7</t>
  </si>
  <si>
    <t>Flame Tongue, Shortsword</t>
  </si>
  <si>
    <t>DDHC-TYP-Ch-6 | CCC-WYC1-2</t>
  </si>
  <si>
    <t>C95</t>
  </si>
  <si>
    <t>DDAL00-06 | DDHC-GSM-Ch-7 | DDHC-ToA-1-Ch-2 | DDEP08-01 | CCC-BMG-41/HULB4-2 | CCC-CNE-02 | CCC-RCC-01-03 | CCC-TAROT02-04 | CCC-UCON03</t>
  </si>
  <si>
    <t>DDAL00-06</t>
  </si>
  <si>
    <t>Gambler's Blade</t>
  </si>
  <si>
    <t>H</t>
  </si>
  <si>
    <t>Gauntlets of Flaming Fury</t>
  </si>
  <si>
    <t>Gavel of the Venn Rune</t>
  </si>
  <si>
    <t>SKT 234</t>
  </si>
  <si>
    <t>5DDHC-SKT-Ch-5</t>
  </si>
  <si>
    <t>G43</t>
  </si>
  <si>
    <t>DDHC-OotA-Ch-13 | DDHC-TYP-Ch-7 | DDAL08-12 | DDHC-DMM-Lvl-9 | DDAL09-05 | CCC-SHINY-04 | WBW-DC-FDC-06</t>
  </si>
  <si>
    <t>Ghost Lantern</t>
  </si>
  <si>
    <t>ToA 206</t>
  </si>
  <si>
    <t>DDHC-ToA-1-Ch-5</t>
  </si>
  <si>
    <t>Giant Slayer</t>
  </si>
  <si>
    <t>any axe or sword</t>
  </si>
  <si>
    <t>G44</t>
  </si>
  <si>
    <t>DDEP5-2-T2 | DDHC-TOA-7</t>
  </si>
  <si>
    <t>Giant Slayer, Battleaxe</t>
  </si>
  <si>
    <t>Giant Slayer, Greataxe</t>
  </si>
  <si>
    <t>Giant Slayer, Greatsword</t>
  </si>
  <si>
    <t>DDEP5-2-T2</t>
  </si>
  <si>
    <t>Giant Slayer, Handaxe</t>
  </si>
  <si>
    <t>Giant Slayer, Longsword</t>
  </si>
  <si>
    <t>Giant Slayer, Rapier</t>
  </si>
  <si>
    <t>Giant Slayer, Scimitar</t>
  </si>
  <si>
    <t>Giant Slayer, Shortsword</t>
  </si>
  <si>
    <t>studded leather</t>
  </si>
  <si>
    <t>G45</t>
  </si>
  <si>
    <t>DDAL4-09 | DDAL08-11 | DDAL09-06 | WBW-DC-CONMAR-15</t>
  </si>
  <si>
    <t>Gulthias Staff</t>
  </si>
  <si>
    <t>DDHC-CoS-Ch-12</t>
  </si>
  <si>
    <t>BMG-MOONEP-MD-01 | DDHC-TYP-Ch-6</t>
  </si>
  <si>
    <t>G46</t>
  </si>
  <si>
    <t>CCC-BMG-43/PHLAN4-1 | CCC-PHA-01</t>
  </si>
  <si>
    <t>C96</t>
  </si>
  <si>
    <t>DDHC-JRC-Ch-2 | DDHC-OotA-Ch-9 | DDHC-SKT-Ch-2 | DDHC-TOA-13 | DDAL09-09 | CCC-GOC-01-02 | CCC-SKULL01-01</t>
  </si>
  <si>
    <t>Hook of Fisher's Delight</t>
  </si>
  <si>
    <t>DDHC-RotFM-Ch-2</t>
  </si>
  <si>
    <t>Horn of Blasting</t>
  </si>
  <si>
    <t>G47</t>
  </si>
  <si>
    <t>DDHC-CM-Ch-16 | DDEX1-11 | DDHC-ToA-1-Appendix | CCC-BWM-001 | DDHC-RotFM-Ch-2</t>
  </si>
  <si>
    <t>WDMM 163</t>
  </si>
  <si>
    <t>DDHC-DMM-Lvl-12</t>
  </si>
  <si>
    <t>Horn of Valhalla, Brass</t>
  </si>
  <si>
    <t>G48</t>
  </si>
  <si>
    <t>DDHC-DMM-Lvl-12 | CCC-GAD02-03</t>
  </si>
  <si>
    <t>Horn of Valhalla, Silver</t>
  </si>
  <si>
    <t>DDHC-KGV-Ch-11 | WBW-DC-AA-ASHALON-02 | WBW-DC-BIRE-07 | WBW-DC-DREA-01 | WBW-DC-JSH-CEL1 | WBW-DC-LEGIT-SV-05 | WBW-DC-TEN-02 | WBW-DC-ZODIAC-03 | WBW-Magic Item Table C | WBW-DC-IDL-03 | WBW-DC-ROG-03</t>
  </si>
  <si>
    <t>C97</t>
  </si>
  <si>
    <t>CCC-PIPYAPS-DH1 | CCC-TAROT02-07</t>
  </si>
  <si>
    <t>Instrument of the Bards, Canaith Mandolin</t>
  </si>
  <si>
    <t>G49</t>
  </si>
  <si>
    <t>DDEX3-9 | DDEX3-9 | DDHC-ToA-1-Ch-5 | DDHC-ToA-1-Ch-5</t>
  </si>
  <si>
    <t>Instrument of the Bards, Cli Lyre</t>
  </si>
  <si>
    <t>G50</t>
  </si>
  <si>
    <t>DDHC-CM-Ch-12 | DDHC-CM-Ch-12 | DDHC-GSM-Ch-8 | DDHC-KGV-Ch-13 | DDHC-KGV-Ch-13 | CCC-TRI-25 | CCC-TRI-25</t>
  </si>
  <si>
    <t>Ioun Stone, Awareness</t>
  </si>
  <si>
    <t>G51</t>
  </si>
  <si>
    <t>DDHC-CM-Ch-14 | DDHC-CM-Ch-15 | WBW-DC-CONMAR-10 | WBW-DC-DCS-01</t>
  </si>
  <si>
    <t>Ioun Stone, Historical Knowledge</t>
  </si>
  <si>
    <t>Ioun Stone, Language Knowledge</t>
  </si>
  <si>
    <t>Ioun Stone, Natural Knowledge</t>
  </si>
  <si>
    <t>Ioun Stone, Protection</t>
  </si>
  <si>
    <t>G52</t>
  </si>
  <si>
    <t>DDAL00-11d | DDEX1-10 | DDEP06-02-T2 | CCC-HATMS01-03 | WBW-DC-Death-01 | WBW-DC-JSH-LIB-04 | WBW-DC-MIMIC-01 | WBW-DC-NBDD-01 | WBW-DC-PHP-POLAR-01 | WBW-DC-ZODIAC-11 | WBW-Magic Item Table C | WBW-DC-CONMAR-02 | WBW-DC-PHP-ORNG-01</t>
  </si>
  <si>
    <t>Ioun Stone, Religious Knowledge</t>
  </si>
  <si>
    <t>Ioun Stone, Reserve</t>
  </si>
  <si>
    <t>G53</t>
  </si>
  <si>
    <t>CCC-BMG-48/HILL3-3 | CCC-YLRA01-01</t>
  </si>
  <si>
    <t>Ioun Stone, Self Preservation</t>
  </si>
  <si>
    <t>Ioun Stone, Supreme Intellect</t>
  </si>
  <si>
    <t>Ioun Stone, Sustenance</t>
  </si>
  <si>
    <t>G54</t>
  </si>
  <si>
    <t>DMG 177</t>
  </si>
  <si>
    <t>G55</t>
  </si>
  <si>
    <t>DDHC-CM-Ch-11 | DRW-01 | DDHC-WDH-Ch-2 | CCC-DES-03-01</t>
  </si>
  <si>
    <t>Knave's Eye Patch</t>
  </si>
  <si>
    <t>DRW-EP-04 | DDHC-WDH-Ch-2</t>
  </si>
  <si>
    <t>Leather Golem Armor</t>
  </si>
  <si>
    <t>Loadstone</t>
  </si>
  <si>
    <t>mace</t>
  </si>
  <si>
    <t>G58</t>
  </si>
  <si>
    <t>DDHC-WDH-Ch-6 | CCC-CIC-03 | CCC-GHC-BK1-02</t>
  </si>
  <si>
    <t>G59</t>
  </si>
  <si>
    <t>DDAL07-06 | DDAL08-07 | DDHC-DMM-Lvl-21 | DDAL10-07</t>
  </si>
  <si>
    <t>DMG 180</t>
  </si>
  <si>
    <t>G60</t>
  </si>
  <si>
    <t>DDHC-KGV-Ch-13 | DDHC-CoS-Ch-4 | DDEP06-01-T2 | DDHC-ToA-1-Ch-5</t>
  </si>
  <si>
    <t>Macuahuitl</t>
  </si>
  <si>
    <t>longsword</t>
  </si>
  <si>
    <t>TftYP</t>
  </si>
  <si>
    <t>G61</t>
  </si>
  <si>
    <t>DRW-11 | DDEX1-13 | DDEP07-02-T2 | DDEP08-02-T3 | DDEP09-01 | CCC-ST2-1 | WBW-DC-ABC-01 | WBW-DC-ANDL-01 | WBW-DC-DMMC-01 | WBW-DC-EBAL-MEF2 | WBW-DC-PHP-LCL-02 | WBW-DC-PHP-PHAN-02 | WBW-DC-PLS-01 | WBW-DC-ZION-03 | WBW-Magic Item Table C | WBW-DC-CONMAR-11 | WBW-DC-HH-01 | WBW-DC-KCB-02 | WBW-DC-MOM-01 | WBW-DC-NJ-HOPE-01</t>
  </si>
  <si>
    <t>Mirror of the Past</t>
  </si>
  <si>
    <t>DDHC-TYP-Ch-3 | DC-POA-CBB-05 | DC-POA-CONMAR-18 | DC-POA-DRAGON-02 | DC-POA-GARYXIII-02 | DC-POA-INAS-02 | DC-POA-TCW-ACW-5 | DC-POA-TDG01-08</t>
  </si>
  <si>
    <t>C98</t>
  </si>
  <si>
    <t>DDHC-KGV-Ch-6 | DDHC-KGV-Ch-10 | DRW-04 | DRW-18 | DDHC-OotA-Ch-2 | DDHC-TYP-Ch-6 | DDHC-ToA-1-Ch-5 | DDHC-WDH-Ch-3 | CCC-CIC-15 | CCC-GARY-03 | CCC-MALTH-003 | CCC-OHAYOCON-01-03 | DDHC-RotFM-Ch-7</t>
  </si>
  <si>
    <t>cleric, druid, or paladin</t>
  </si>
  <si>
    <t>G62</t>
  </si>
  <si>
    <t>DDHC-JRC-Ch-9 | DDHC-KGV-Ch-6 | DRW-06 | DDEP2-T2 | DDHC-PotA-Ch-5 | DDHC-TOA-8 | CCC-BMG-35/ELM2-2</t>
  </si>
  <si>
    <t>SKT 235</t>
  </si>
  <si>
    <t>DDAL05-11 | DDAL05-14 | DDHC-SKT-Ch-4</t>
  </si>
  <si>
    <t>Orb of the Stein Rune</t>
  </si>
  <si>
    <t>DDAL05-14 | 5DDHC-SKT-Ch-6 | CCC-ANIME-01-03</t>
  </si>
  <si>
    <t>Outer Essence Shard, Generic</t>
  </si>
  <si>
    <t>G63</t>
  </si>
  <si>
    <t>CCC-BMG-30/HILL2-3 | CCC-GAD01-03 | CCC-RCC-01-06</t>
  </si>
  <si>
    <t>Piwafwi of Fire Resistance</t>
  </si>
  <si>
    <t>D00</t>
  </si>
  <si>
    <t>DRW-17 | CCC-BMG-28/HILL2-1 | CCC-BMG-34/ELM2-1 | CCC-BWM-005 | CCC-CIC-07 | CCC-CNE-01 | CCC-COS-01 | CCC-NBDD01-01 | CCC-ODFC02-02 | CCC-TRI-07 | DDAL10-09</t>
  </si>
  <si>
    <t>Professor Orb</t>
  </si>
  <si>
    <t>RotFM 315</t>
  </si>
  <si>
    <t>DDHC-RotFM-Ch-5</t>
  </si>
  <si>
    <t>Quaal's Feather Token</t>
  </si>
  <si>
    <t>DMG 188</t>
  </si>
  <si>
    <t>C83-84</t>
  </si>
  <si>
    <t>DDHC-TYP-Ch-1 | DDHC-TOA-12 | DDHC-DMM-Lvl-17 | CCC-GARY-06</t>
  </si>
  <si>
    <t>DDHC-KGV-Ch-6 | DDAL4-13 | DDHC-ToA-1-Ch-2 | CCC-BMG-46/HILL3-1</t>
  </si>
  <si>
    <t>G65</t>
  </si>
  <si>
    <t>DDHC-KGV-Ch-8 | DRW-16 | DDEX1-3 | DDEP07-02-T2</t>
  </si>
  <si>
    <t>G66</t>
  </si>
  <si>
    <t>DDHC-TYP-Ch-7 | DDHC-TOA-5 | DDHC-WBW-Ch-5 | SJ-Magic Item Table C</t>
  </si>
  <si>
    <t>G67</t>
  </si>
  <si>
    <t>DDHC-GSM-Ch-7 | DDHC-OotA-Ch-13 | DDAL09-10 | CCC-BMG-MOON13-1 | WBW-DC-AEG-01 | WBW-DC-AMQ-04 | WBW-DC-ANDL-02 | WBW-DC-ARCON-02 | WBW-DC-BERRY-00 | WBW-DC-CONMAR-04 | WBW-DC-MOM-02 | WBW-DC-ROG-02 | WBW-DC-ZODIAC-07 | WBW-Magic Item Table C | WBW-DC-BIRE-06 | WBW-DC-ROBIN-01-2</t>
  </si>
  <si>
    <t>G68</t>
  </si>
  <si>
    <t>DDHC-LMOP-Ch-3 | DDEX3-15 | DDHC-OotA-Ch-13 | DDHC-SKT-Ch-3 | DDHC-TYP-Ch-3 | DDHC-TYP-Ch-7 | DDHC-TYP-Ch-4 | DDHC-TYP-Ch-5 | DDHC-TYP-Ch-6 | DDHC-ToA-1-Ch-5 | CCC-GHC-03</t>
  </si>
  <si>
    <t>Ring of Resistance, Acid</t>
  </si>
  <si>
    <t>DDHC-CM-Ch-16</t>
  </si>
  <si>
    <t>Ring of Resistance, Cold</t>
  </si>
  <si>
    <t>DDHC-MORD-03 | DDHC-RoT-Ch-2 | DDHC-PotA-Ch-6 | DDHC-SKT-Ch-3</t>
  </si>
  <si>
    <t>Ring of Resistance, Fire</t>
  </si>
  <si>
    <t>DDEX1-5 | DDHC-PotA-Ch-3 | DDHC-SKT-Ch-3 | DDHC-TYP-Ch-6 | DDHC-TYP-Ch-7 | DDHC-TYP-Ch-3 | DDHC-ToA-1-Ch-1 | DDHC-TOA-14 | DDAL08-08 | CCC-GHC-BK1-04 | CCC-BMG-HULB2S</t>
  </si>
  <si>
    <t>Ring of Resistance, Force</t>
  </si>
  <si>
    <t>Ring of Resistance, Lightning</t>
  </si>
  <si>
    <t>Ring of Resistance, Necrotic</t>
  </si>
  <si>
    <t>Ring of Resistance, Poison</t>
  </si>
  <si>
    <t>DDHC-RoT-Ch-3</t>
  </si>
  <si>
    <t>Ring of Resistance, Psychic</t>
  </si>
  <si>
    <t>Ring of Resistance, Radiant</t>
  </si>
  <si>
    <t>Ring of Resistance, Thunder</t>
  </si>
  <si>
    <t>DMG 192</t>
  </si>
  <si>
    <t>G70</t>
  </si>
  <si>
    <t>DDHC-CM-Ch-14 | DDAL4-08 | DDEP5-2-T2 | DDHC-TYP-Ch-2 | DDHC-TYP-Ch-4 | CCC-HAL-02 | CCC-ZIEGE-03</t>
  </si>
  <si>
    <t>G71</t>
  </si>
  <si>
    <t>DDHC-CM-Ch-5 | CCC-GHC-07 | CCC-TRI-08 | CCC-ZIEGE-02 | DDHC-RotFM-Ch-6</t>
  </si>
  <si>
    <t>Ring of X-ray Vision</t>
  </si>
  <si>
    <t>G72</t>
  </si>
  <si>
    <t>DRW-10 | PO-BK2-06 | DDHC-DMM-Lvl-20 | DDHC-DIA-Ch-3b</t>
  </si>
  <si>
    <t>G73</t>
  </si>
  <si>
    <t>DDHC-CM-Ch-15 | DDEX1-14 | DDHC-OotA-Ch-13 | CCC-BMG-42/HULB4-3</t>
  </si>
  <si>
    <t>Robe of Summer</t>
  </si>
  <si>
    <t>G74</t>
  </si>
  <si>
    <t>DDHC-DMM-Lvl-8 | CCC-ELF-04 | CCC-TRI-03</t>
  </si>
  <si>
    <t>Rod of the Vonindod</t>
  </si>
  <si>
    <t>DDHC-SKT-Ch-2 | DDHC-SKT-Ch-3 | DDHC-SKT-Ch-3</t>
  </si>
  <si>
    <t>G76</t>
  </si>
  <si>
    <t>DDHC-KGV-Ch-13 | DDAL07-07 | CCC-ODFC01-02</t>
  </si>
  <si>
    <t>Saint Markovia's Thighbone</t>
  </si>
  <si>
    <t>CoS 222</t>
  </si>
  <si>
    <t>DDHC-CoS-Ch-4</t>
  </si>
  <si>
    <t>Scissors of Shadow Snipping</t>
  </si>
  <si>
    <t>fey or spellcaster</t>
  </si>
  <si>
    <t>WBtW 213</t>
  </si>
  <si>
    <t>DDHC-WBW-Ch-4</t>
  </si>
  <si>
    <t>ToA 208</t>
  </si>
  <si>
    <t>Shadowfell Brand Tattoo</t>
  </si>
  <si>
    <t>PO-BK-1-01</t>
  </si>
  <si>
    <t>Shield of Far Sight</t>
  </si>
  <si>
    <t>VGM</t>
  </si>
  <si>
    <t>G80</t>
  </si>
  <si>
    <t>TYP 192</t>
  </si>
  <si>
    <t>Spellcasting Bolt</t>
  </si>
  <si>
    <t>ammunition</t>
  </si>
  <si>
    <t>Spelljamming Helm</t>
  </si>
  <si>
    <t>Spellwrought Tattoo, 4th Level</t>
  </si>
  <si>
    <t>Spellwrought Tattoo, 5th Level</t>
  </si>
  <si>
    <t>LMoP 53</t>
  </si>
  <si>
    <t>DDHC-LMOP-Ch-4</t>
  </si>
  <si>
    <t>Staff of Charming</t>
  </si>
  <si>
    <t>bard, cleric, druid, sorcerer, warlock, or wizard</t>
  </si>
  <si>
    <t>DMG 201</t>
  </si>
  <si>
    <t>G81</t>
  </si>
  <si>
    <t>DDEX2-2 | DDHC-TYP-Ch-5 | DDAL09-11 | CCC-SQC-001</t>
  </si>
  <si>
    <t>DDHC-LMOP-Ch-2 | DDAL10-10</t>
  </si>
  <si>
    <t>bard, cleric, or druid</t>
  </si>
  <si>
    <t>DMG 202</t>
  </si>
  <si>
    <t>G82</t>
  </si>
  <si>
    <t>DDEP4-T2 | CCC-DES01-02 | CCC-GHC-BK2-08 | CCC-QCC2019-03</t>
  </si>
  <si>
    <t>G83</t>
  </si>
  <si>
    <t>PO-BK2-05 | DDEX3-3 | DDHC-TYP-Ch-6 | DDHC-TOA-7 | WBW-DC-DGE-02 | WBW-DC-LEGIT-SV-06 | WBW-Magic Item Table C | WBW-DC-PHP-ORNG-02</t>
  </si>
  <si>
    <t>druid</t>
  </si>
  <si>
    <t>G84</t>
  </si>
  <si>
    <t>DDHC-CM-Ch-17 | DDAL07-08 | DDEP07-01-T2 | DDHC-TOA-13 | CCC-BMG-18/ELM1-3 | CCC-BMG-MOON12-1 | CCC-GARY-09 | WBW-DC-ANDL-03 | WBW-DC-HAVN-01 | WBW-DC-HH-02 | WBW-DC-IDL-01 | WBW-DC-PHP-LCL-01 | WBW-DC-SUNLIT-06 | WBW-DC-TCW-AVG-1 | WBW-DC-ZODIAC-05 | WBW-Magic Item Table C | WBW-DC-AH-01 | WBW-DC-CONMAR-06</t>
  </si>
  <si>
    <t>G85</t>
  </si>
  <si>
    <t>DDHC-CM-Ch-16 | DDEX2-13 | DDAL08-13 | SJ-Magic Item Table C</t>
  </si>
  <si>
    <t>Stirring Dragon Vessel</t>
  </si>
  <si>
    <t>Stirring Dragon-Touched Focus</t>
  </si>
  <si>
    <t>Stirring Dragon's Wrath Weapon, Generic</t>
  </si>
  <si>
    <t>Stirring Scaled Ornament</t>
  </si>
  <si>
    <t>G86</t>
  </si>
  <si>
    <t>DDHC-JRC-Ch-6 | DDHC-OotA-Ch-6 | CCC-BLD-01-03 | CCC-SFBAY-04-02</t>
  </si>
  <si>
    <t>Stonespeaker Crystal</t>
  </si>
  <si>
    <t>OotA 223</t>
  </si>
  <si>
    <t>DRW-07 | DDHC-OotA-Ch-4</t>
  </si>
  <si>
    <t>G87</t>
  </si>
  <si>
    <t>DDHC-CM-Ch-14 | DDHC-JRC-Ch-11 | DDHC-DMM-Lvl-18 | CCC-6SWORDS-01 | CCC-STORM-01</t>
  </si>
  <si>
    <t>Sword of Life Stealing</t>
  </si>
  <si>
    <t>G88</t>
  </si>
  <si>
    <t>Sword of Life Stealing, Greatsword</t>
  </si>
  <si>
    <t>Sword of Life Stealing, Longsword</t>
  </si>
  <si>
    <t>Sword of Life Stealing, Rapier</t>
  </si>
  <si>
    <t>CCC-PDXAGE-0201</t>
  </si>
  <si>
    <t>Sword of Life Stealing, Scimitar</t>
  </si>
  <si>
    <t>CCC-RCC-01-04</t>
  </si>
  <si>
    <t>Sword of Life Stealing, Shortsword</t>
  </si>
  <si>
    <t>Sword of Wounding</t>
  </si>
  <si>
    <t>DMG 207</t>
  </si>
  <si>
    <t>G89</t>
  </si>
  <si>
    <t>DDEX2-15</t>
  </si>
  <si>
    <t>Sword of Wounding, Greatsword</t>
  </si>
  <si>
    <t>Sword of Wounding, Longsword</t>
  </si>
  <si>
    <t>Sword of Wounding, Rapier</t>
  </si>
  <si>
    <t>Sword of Wounding, Scimitar</t>
  </si>
  <si>
    <t>Sword of Wounding, Shortsword</t>
  </si>
  <si>
    <t>DMG 208</t>
  </si>
  <si>
    <t>G90</t>
  </si>
  <si>
    <t>DRW-EP-01 | PO-BK-1-04 | DDHC-PotA-Ch-5 | DDHC-OotA-Ch-1 | DDHC-OotA-Ch-7 | DDHC-OotA-Ch-15 | DDHC-TYP-Ch-6 | CCC-GHC-BK1-03</t>
  </si>
  <si>
    <t>Treebane</t>
  </si>
  <si>
    <t>CoS</t>
  </si>
  <si>
    <t>Vicious Weapon</t>
  </si>
  <si>
    <t>G91</t>
  </si>
  <si>
    <t>Vicious Weapon, Battleaxe</t>
  </si>
  <si>
    <t>Vicious Weapon, Blowgun</t>
  </si>
  <si>
    <t>Vicious Weapon, Club</t>
  </si>
  <si>
    <t>Vicious Weapon, Dagger</t>
  </si>
  <si>
    <t>Vicious Weapon, Dart</t>
  </si>
  <si>
    <t>Vicious Weapon, Flail</t>
  </si>
  <si>
    <t>Vicious Weapon, Glaive</t>
  </si>
  <si>
    <t>CCC-SVH-01-02</t>
  </si>
  <si>
    <t>Vicious Weapon, Greataxe</t>
  </si>
  <si>
    <t>Vicious Weapon, Greatclub</t>
  </si>
  <si>
    <t>Vicious Weapon, Greatsword</t>
  </si>
  <si>
    <t>Vicious Weapon, Halberd</t>
  </si>
  <si>
    <t>Vicious Weapon, Hand Crossbow</t>
  </si>
  <si>
    <t>Vicious Weapon, Handaxe</t>
  </si>
  <si>
    <t>Vicious Weapon, Heavy Crossbow</t>
  </si>
  <si>
    <t>Vicious Weapon, Javelin</t>
  </si>
  <si>
    <t>Vicious Weapon, Lance</t>
  </si>
  <si>
    <t>Vicious Weapon, Light Crossbow</t>
  </si>
  <si>
    <t>Vicious Weapon, Light Hammer</t>
  </si>
  <si>
    <t>Vicious Weapon, Longbow</t>
  </si>
  <si>
    <t>Vicious Weapon, Longsword</t>
  </si>
  <si>
    <t>DDHC-DIA-01 | CCC-HATMS02-01</t>
  </si>
  <si>
    <t>Vicious Weapon, Mace</t>
  </si>
  <si>
    <t>CCC-BMG-07/HULB1-1</t>
  </si>
  <si>
    <t>Vicious Weapon, Maul</t>
  </si>
  <si>
    <t>Vicious Weapon, Morningstar</t>
  </si>
  <si>
    <t>Vicious Weapon, Pike</t>
  </si>
  <si>
    <t>Vicious Weapon, Quarterstaff</t>
  </si>
  <si>
    <t>Vicious Weapon, Rapier</t>
  </si>
  <si>
    <t>Vicious Weapon, Scimitar</t>
  </si>
  <si>
    <t>Vicious Weapon, Shortbow</t>
  </si>
  <si>
    <t>Vicious Weapon, Shortsword</t>
  </si>
  <si>
    <t>Vicious Weapon, Sickle</t>
  </si>
  <si>
    <t>Vicious Weapon, Sling</t>
  </si>
  <si>
    <t>Vicious Weapon, Spear</t>
  </si>
  <si>
    <t>Vicious Weapon, Staff</t>
  </si>
  <si>
    <t>Vicious Weapon, Trident</t>
  </si>
  <si>
    <t>Vicious Weapon, War Pick</t>
  </si>
  <si>
    <t>Vicious Weapon, Warhammer</t>
  </si>
  <si>
    <t>Vicious Weapon, Whip</t>
  </si>
  <si>
    <t>Vicious Weapon, Yklwa</t>
  </si>
  <si>
    <t>G92</t>
  </si>
  <si>
    <t>DDHC-KGV-Ch-4 | DDAL4-10 | DDEP06-01-T2 | DDHC-TYP-Ch-5 | DDHC-WDH-Ch-8 | DDHC-RotFM-Ch-2</t>
  </si>
  <si>
    <t>Wand of Enemy Detection</t>
  </si>
  <si>
    <t>DMG 210</t>
  </si>
  <si>
    <t>G93</t>
  </si>
  <si>
    <t>Wand of Fear</t>
  </si>
  <si>
    <t>G94</t>
  </si>
  <si>
    <t>DDHC-RoT-Ch-7 | DDHC-PotA-Ch-5 | DDHC-ToA-1-Ch-2 | CCC-BMG-45/PHLAN4-3</t>
  </si>
  <si>
    <t>G95</t>
  </si>
  <si>
    <t>DDHC-SKT-Ch-3 | 5DDHC-SKT-Ch-7 | DDHC-DMM-Lvl-5 | CCC-BWM-007-01 | CCC-WYC1-3 | SJ-DC-NCH-02 | SJ-Magic Item Table C</t>
  </si>
  <si>
    <t>G96</t>
  </si>
  <si>
    <t>DDEX2-9 | DDHC-SKT-Ch-3 | DDHC-TYP-Ch-3 | DDEP07-02-T2 | DDEP07-02-T1 | DDAL08-09 | DDHC-WDH-Ch-8</t>
  </si>
  <si>
    <t>G97</t>
  </si>
  <si>
    <t>DDHC-TYP-Ch-6 | CCC-DWB-ANH-1 | CCC-TAROT02-03</t>
  </si>
  <si>
    <t>DDHC-OotA-Ch-1</t>
  </si>
  <si>
    <t>HotDQ p94</t>
  </si>
  <si>
    <t>DRW-12 | DDHC-HotDQ-Ch-7</t>
  </si>
  <si>
    <t>G99</t>
  </si>
  <si>
    <t>DDAL00-03 T3 | DDAL00-03 T4 | DDHC-ToA-1-Ch-5 | DDHC-DMM-Lvl-23 | CCC-BMG-47/HILL3-2 | CCC-CIC-05 | CCC-SAC-05</t>
  </si>
  <si>
    <t>Weird Tank</t>
  </si>
  <si>
    <t>G00</t>
  </si>
  <si>
    <t>DDHC-JRC-Ch-10 | DDEP2-T2 | CCC-TRI-04</t>
  </si>
  <si>
    <t>Witchweed</t>
  </si>
  <si>
    <t>Woodcutter's Axe</t>
  </si>
  <si>
    <t>greataxe</t>
  </si>
  <si>
    <t>WBtW 214</t>
  </si>
  <si>
    <t>DDHC-WBW-Ch-5</t>
  </si>
  <si>
    <t>+2 Armor, Breastplate</t>
  </si>
  <si>
    <t>I44-45</t>
  </si>
  <si>
    <t>DDHC-SKT-Ch-4</t>
  </si>
  <si>
    <t>+2 Armor, Chain Mail</t>
  </si>
  <si>
    <t>H63</t>
  </si>
  <si>
    <t>+2 Armor, Chain Shirt</t>
  </si>
  <si>
    <t>H64</t>
  </si>
  <si>
    <t>+2 Armor, Half-Plate</t>
  </si>
  <si>
    <t>I76(1-2)</t>
  </si>
  <si>
    <t>DDEP07-02-T3 | WBW-DC-PHP-PHAN-02</t>
  </si>
  <si>
    <t>+2 Armor, Hide</t>
  </si>
  <si>
    <t>+2 Armor, Leather</t>
  </si>
  <si>
    <t>H84</t>
  </si>
  <si>
    <t>DDHC-OotA-Ch-5 | DDHC-DIA-Ch-3c</t>
  </si>
  <si>
    <t>+2 Armor, Padded</t>
  </si>
  <si>
    <t>+2 Armor, Plate</t>
  </si>
  <si>
    <t>I76(3-4)</t>
  </si>
  <si>
    <t>DRW-15 | DDHC-CoS-Ch-4 | DDHC-SKT-Ch-4 | CCC-JGD-01</t>
  </si>
  <si>
    <t>+2 Armor, Ring Mail</t>
  </si>
  <si>
    <t>+2 Armor, Scale Mail</t>
  </si>
  <si>
    <t>H92</t>
  </si>
  <si>
    <t>+2 Armor, Splint</t>
  </si>
  <si>
    <t>I70-71</t>
  </si>
  <si>
    <t>+2 Armor, Studded Leather</t>
  </si>
  <si>
    <t>I72-73</t>
  </si>
  <si>
    <t>DDHC-OotA-Ch-5 | DDHC-OotA-Ch-5</t>
  </si>
  <si>
    <t>+3 All-Purpose Tool</t>
  </si>
  <si>
    <t>+3 Amulet of the Devout</t>
  </si>
  <si>
    <t>+3 Arcane Grimoire</t>
  </si>
  <si>
    <t>WBW-DC-AA-ASHALON-02</t>
  </si>
  <si>
    <t>+3 Bloodwell Vial</t>
  </si>
  <si>
    <t>WBW-DC-AUG-01</t>
  </si>
  <si>
    <t>+3 Dragonhide Belt</t>
  </si>
  <si>
    <t>+3 Moon Sickle</t>
  </si>
  <si>
    <t>+3 Rhythm-Maker's Drum</t>
  </si>
  <si>
    <t>+3 Rod of the Pact Keeper</t>
  </si>
  <si>
    <t>H33-34</t>
  </si>
  <si>
    <t>DDAL05-18</t>
  </si>
  <si>
    <t>H37-38</t>
  </si>
  <si>
    <t>DDAL05-18 | DDAL05-18 | DDHC-DMM-Lvl-23 | CCC-BWM-003</t>
  </si>
  <si>
    <t>+3 Wand of the War Mage</t>
  </si>
  <si>
    <t>H53-54</t>
  </si>
  <si>
    <t>DDAL05-18 | DDEP07-02-T3 | DDAL09-17 | CCC-MIND01-03</t>
  </si>
  <si>
    <t>+3 Weapon, Battleaxe</t>
  </si>
  <si>
    <t>DDAL05-09</t>
  </si>
  <si>
    <t>+3 Weapon, Blowgun</t>
  </si>
  <si>
    <t>+3 Weapon, Club</t>
  </si>
  <si>
    <t>+3 Weapon, Dagger</t>
  </si>
  <si>
    <t>CCC-TRI-29</t>
  </si>
  <si>
    <t>+3 Weapon, Dart</t>
  </si>
  <si>
    <t>+3 Weapon, Flail</t>
  </si>
  <si>
    <t>+3 Weapon, Glaive</t>
  </si>
  <si>
    <t>WBW-DC-SUNLIT-06</t>
  </si>
  <si>
    <t>+3 Weapon, Greataxe</t>
  </si>
  <si>
    <t>+3 Weapon, Greatclub</t>
  </si>
  <si>
    <t>+3 Weapon, Greatsword</t>
  </si>
  <si>
    <t>DDHC-KGV-Ch-11 | DDEX3-4 | WBW-DC-PLS-01</t>
  </si>
  <si>
    <t>+3 Weapon, Halberd</t>
  </si>
  <si>
    <t>+3 Weapon, Hand crossbow</t>
  </si>
  <si>
    <t>WBW-DC-PHP-LCL-02</t>
  </si>
  <si>
    <t>+3 Weapon, Handaxe</t>
  </si>
  <si>
    <t>+3 Weapon, Heavy Crossbow</t>
  </si>
  <si>
    <t>+3 Weapon, Javelin</t>
  </si>
  <si>
    <t>+3 Weapon, Lance</t>
  </si>
  <si>
    <t>CCC-BMG-39/HULB3-3</t>
  </si>
  <si>
    <t>+3 Weapon, Light Crossbow</t>
  </si>
  <si>
    <t>+3 Weapon, Light Hammer</t>
  </si>
  <si>
    <t>+3 Weapon, Longbow</t>
  </si>
  <si>
    <t>+3 Weapon, Longsword</t>
  </si>
  <si>
    <t>DRW-16</t>
  </si>
  <si>
    <t>+3 Weapon, Mace</t>
  </si>
  <si>
    <t>+3 Weapon, Maul</t>
  </si>
  <si>
    <t>+3 Weapon, Morningstar</t>
  </si>
  <si>
    <t>+3 Weapon, Pike</t>
  </si>
  <si>
    <t>DDAL07-10</t>
  </si>
  <si>
    <t>+3 Weapon, Quarterstaff</t>
  </si>
  <si>
    <t>DDAL09-13</t>
  </si>
  <si>
    <t>+3 Weapon, Rapier</t>
  </si>
  <si>
    <t>+3 Weapon, Scimitar</t>
  </si>
  <si>
    <t>DDEP06-02-T3 | DDHC-TOA-10</t>
  </si>
  <si>
    <t>+3 Weapon, Shortbow</t>
  </si>
  <si>
    <t>+3 Weapon, Shortsword</t>
  </si>
  <si>
    <t>+3 Weapon, Sickle</t>
  </si>
  <si>
    <t>+3 Weapon, Sling</t>
  </si>
  <si>
    <t>+3 Weapon, Spear</t>
  </si>
  <si>
    <t>+3 Weapon, Staff</t>
  </si>
  <si>
    <t>+3 Weapon, Trident</t>
  </si>
  <si>
    <t>+3 Weapon, War Pick</t>
  </si>
  <si>
    <t>+3 Weapon, Warhammer</t>
  </si>
  <si>
    <t>+3 Weapon, Whip</t>
  </si>
  <si>
    <t>+3 Weapon, Yklwa</t>
  </si>
  <si>
    <t>DDHC-RotFM-Ch-7</t>
  </si>
  <si>
    <t>Absorbing Tattoo, Generic</t>
  </si>
  <si>
    <t>SJ-DC-ETA | SJ-Magic Item Table D</t>
  </si>
  <si>
    <t>PO-BK2-09 | WBW-DC-ZODIAC-05</t>
  </si>
  <si>
    <t>Amulet of the Black Skull</t>
  </si>
  <si>
    <t>H11-12</t>
  </si>
  <si>
    <t>DDEP06-03-T3 | DDHC-WBW-Ch-5</t>
  </si>
  <si>
    <t>Ancient Relic Red Dragon's Thighbone</t>
  </si>
  <si>
    <t>SKT 105</t>
  </si>
  <si>
    <t>DDHC-SKT-Ch-3</t>
  </si>
  <si>
    <t>DMG 151</t>
  </si>
  <si>
    <t>H57</t>
  </si>
  <si>
    <t>DDHC-CM-Ch-16 | DDEP5-2-T3 | DDEP08-03-T3</t>
  </si>
  <si>
    <t>Arrow of Slaying</t>
  </si>
  <si>
    <t>E94-98</t>
  </si>
  <si>
    <t>D99</t>
  </si>
  <si>
    <t>DDHC-JRC-Ch-13 | DDHC-DIA-Ch-3b | CCC-FC3-03 | CCC-SEA-01-03 | CCC-TRI-22</t>
  </si>
  <si>
    <t>Barrier Tattoo, Large</t>
  </si>
  <si>
    <t>DDHC-DIA-Ch-2</t>
  </si>
  <si>
    <t>H58</t>
  </si>
  <si>
    <t>DDEP3-T3 | CCC-ALMOG-03</t>
  </si>
  <si>
    <t>Belt of Frost Giant Strength</t>
  </si>
  <si>
    <t>H59</t>
  </si>
  <si>
    <t>DRW-14 | DDAL09-14</t>
  </si>
  <si>
    <t>Blade of the Medusa</t>
  </si>
  <si>
    <t>WBtW 208</t>
  </si>
  <si>
    <t>DDHC-WBW-Ch-2</t>
  </si>
  <si>
    <t>Bracelet of Rock Magic</t>
  </si>
  <si>
    <t>Candle of Invocation</t>
  </si>
  <si>
    <t>H62</t>
  </si>
  <si>
    <t>DDEP06-03-T3 | DDHC-DMM-Lvl-8</t>
  </si>
  <si>
    <t>H13-14</t>
  </si>
  <si>
    <t>DDHC-JRC-Ch-10 | CCC-GOC-01-03 | WBW-DC-IDL-03 | WBW-DC-ZODIAC-09 | SJ-DC-DFA-01 | SJ-Magic Item Table D</t>
  </si>
  <si>
    <t>H65</t>
  </si>
  <si>
    <t>DRW-EP-04 | DDHC-TOA-10 | DDAL09-12 | SJ-Magic Item Table D</t>
  </si>
  <si>
    <t>Crystal Ball</t>
  </si>
  <si>
    <t>H15-16</t>
  </si>
  <si>
    <t>DDHC-CM-Ch-14 | 5DDHC-SKT-Ch-10 | CCC-MIND01-01</t>
  </si>
  <si>
    <t>WBW-DC-JSH-LIB-04</t>
  </si>
  <si>
    <t>Dancing Sword</t>
  </si>
  <si>
    <t>H66</t>
  </si>
  <si>
    <t>CCC-GHC-BK1-10 | CCC-LINKS-02</t>
  </si>
  <si>
    <t>Dancing Sword, Greatsword</t>
  </si>
  <si>
    <t>Dancing Sword, Longsword</t>
  </si>
  <si>
    <t>DRW-07 | WBW-DC-AA-ASHALON-01</t>
  </si>
  <si>
    <t>Dancing Sword, Rapier</t>
  </si>
  <si>
    <t>Dancing Sword, Scimitar</t>
  </si>
  <si>
    <t>Dancing Sword, Shortsword</t>
  </si>
  <si>
    <t>Demon Armor</t>
  </si>
  <si>
    <t>H67</t>
  </si>
  <si>
    <t>DDEX3-16</t>
  </si>
  <si>
    <t>Devastation Orb, Generic</t>
  </si>
  <si>
    <t>DDHC-PotA-Ch-4 | DDHC-PotA-Ch-6</t>
  </si>
  <si>
    <t>Dragon Scale Mail, Black</t>
  </si>
  <si>
    <t>Dragon Scale Mail, Blue</t>
  </si>
  <si>
    <t>Dragon Scale Mail, Brass</t>
  </si>
  <si>
    <t>Dragon Scale Mail, Bronze</t>
  </si>
  <si>
    <t>Dragon Scale Mail, Copper</t>
  </si>
  <si>
    <t>Dragon Scale Mail, Gold</t>
  </si>
  <si>
    <t>Dragon Scale Mail, Green</t>
  </si>
  <si>
    <t>Dragon Scale Mail, Red</t>
  </si>
  <si>
    <t>DDEP5-1-T2 | DDAL09-15</t>
  </si>
  <si>
    <t>Dragon Scale Mail, Silver</t>
  </si>
  <si>
    <t>PO-BK-1-04</t>
  </si>
  <si>
    <t>Dragon Scale Mail, White</t>
  </si>
  <si>
    <t>DDHC-HotDQ-Ch-7</t>
  </si>
  <si>
    <t>DMG 167</t>
  </si>
  <si>
    <t>H69</t>
  </si>
  <si>
    <t>DDHC-CM-Ch-16 | PotA-Addendum | DDHC-OotA-Ch-4 | DDHC-TYP-Ch-6 | CCC-TRI-10</t>
  </si>
  <si>
    <t>warhammer, dwarf</t>
  </si>
  <si>
    <t>H70</t>
  </si>
  <si>
    <t>DDHC-PotA-Ch-5 | DDEP4-T3 | DDHC-DMM-Lvl-15 | WBW-DC-MOM-02</t>
  </si>
  <si>
    <t>H71</t>
  </si>
  <si>
    <t>CCC-SAC-01 | WBW-DC-AUG-01</t>
  </si>
  <si>
    <t>Eldritch Staff</t>
  </si>
  <si>
    <t>Figurine of Wondrous Power, Obsidian Steed</t>
  </si>
  <si>
    <t>H72</t>
  </si>
  <si>
    <t>DDEP00-01-T3 | WBW-DC-MOM-02 | WBW-DC-ZODIAC-07</t>
  </si>
  <si>
    <t>AAG 22</t>
  </si>
  <si>
    <t>SJ-DC-DWR-02 | SJ-DC-TRIDEN-MYKE-01 | SJ-Magic Item Table D</t>
  </si>
  <si>
    <t>Frost Brand</t>
  </si>
  <si>
    <t>H73</t>
  </si>
  <si>
    <t>DDHC-TYP-Ch-6 | CCC-BMG-15/PHLAN1-3 | SJ-Magic Item Table D</t>
  </si>
  <si>
    <t>Frost Brand, Greatsword</t>
  </si>
  <si>
    <t>DDHC-TYP-Ch-6 | CCC-BMG-15/PHLAN1-3</t>
  </si>
  <si>
    <t>Frost Brand, Longsword</t>
  </si>
  <si>
    <t>Frost Brand, Rapier</t>
  </si>
  <si>
    <t>Frost Brand, Scimitar</t>
  </si>
  <si>
    <t>Frost Brand, Shortsword</t>
  </si>
  <si>
    <t>SJ-DC-NOS-01 | SJ-Magic Item Table D</t>
  </si>
  <si>
    <t>Heartstone</t>
  </si>
  <si>
    <t>MM 179</t>
  </si>
  <si>
    <t>DDHC-ToA-1-Ch-5 | DDHC-RotFM-Ch-7</t>
  </si>
  <si>
    <t>H74</t>
  </si>
  <si>
    <t>DRW-03 | DDHC-CoS-Ch-4 | DDAL07-14 | WBW-DC-LEGIT-SV-06</t>
  </si>
  <si>
    <t>Helm of Devil Command</t>
  </si>
  <si>
    <t>creautre that can speak Infernal</t>
  </si>
  <si>
    <t>Horn of Valhalla, Bronze</t>
  </si>
  <si>
    <t>H75</t>
  </si>
  <si>
    <t>DDAL05-18 | DDHC-TYP-Ch-6</t>
  </si>
  <si>
    <t>Horned Ring</t>
  </si>
  <si>
    <t>DDHC-DMM-Lvl-23</t>
  </si>
  <si>
    <t>Horseshoes of a Zephyr</t>
  </si>
  <si>
    <t>D93-95</t>
  </si>
  <si>
    <t>Ingot of the Skold Rune</t>
  </si>
  <si>
    <t>Instrument of the Bards, Anstruth Harp</t>
  </si>
  <si>
    <t>H76</t>
  </si>
  <si>
    <t>DRW-18 | DDAL05-18 | 5DDHC-SKT-Ch-9 | 5DDHC-SKT-Ch-9 | DDHC-DMM-Lvl-23 | DDHC-DMM-Lvl-23 | CCC-BMG-40/HULB4-1 | SJ-DC-DFA-02 | SJ-Magic Item Table D | SJ-DC-DFA-02 | SJ-Magic Item Table D</t>
  </si>
  <si>
    <t>Ioun Stone, Absorption</t>
  </si>
  <si>
    <t>H77</t>
  </si>
  <si>
    <t>DDHC-DIA-01</t>
  </si>
  <si>
    <t>Ioun Stone, Agility</t>
  </si>
  <si>
    <t>H78</t>
  </si>
  <si>
    <t>Ioun Stone, Fortitude</t>
  </si>
  <si>
    <t>H79</t>
  </si>
  <si>
    <t>DDEP06-02-T3</t>
  </si>
  <si>
    <t>Ioun Stone, Insight</t>
  </si>
  <si>
    <t>H80</t>
  </si>
  <si>
    <t>DDEP3-T3 | DDHC-DMM-Lvl-22 | DDHC-WBW-Ch-5 | SJ-Magic Item Table D</t>
  </si>
  <si>
    <t>Ioun Stone, Intellect</t>
  </si>
  <si>
    <t>H81</t>
  </si>
  <si>
    <t>DRW-17</t>
  </si>
  <si>
    <t>Ioun Stone, Leadership</t>
  </si>
  <si>
    <t>H82</t>
  </si>
  <si>
    <t>DDHC-JRC-Ch-10 | DDHC-TOA-10 | DDAL09-16 | SJ-Magic Item Table D</t>
  </si>
  <si>
    <t>Ioun Stone, Strength</t>
  </si>
  <si>
    <t>H83</t>
  </si>
  <si>
    <t>Ioun Stone, Vitality</t>
  </si>
  <si>
    <t>IMR 94</t>
  </si>
  <si>
    <t>DRW-06</t>
  </si>
  <si>
    <t>Eberron: RFTLW</t>
  </si>
  <si>
    <t>DRW-20</t>
  </si>
  <si>
    <t>WBW-DC-ZODIAC-10</t>
  </si>
  <si>
    <t>Lost Sword</t>
  </si>
  <si>
    <t>shortsword</t>
  </si>
  <si>
    <t>Maddgoth's Helm</t>
  </si>
  <si>
    <t>Other</t>
  </si>
  <si>
    <t>DDHC-DMM-Lvl-7</t>
  </si>
  <si>
    <t>H85</t>
  </si>
  <si>
    <t>DDHC-CoS-Ch-4 | CCC-QCC-2017 | WBW-DC-ZODIAC-12</t>
  </si>
  <si>
    <t>H86</t>
  </si>
  <si>
    <t>DDHC-DMM-Lvl-16 | CCC-TRI-24</t>
  </si>
  <si>
    <t>Manual of Golems</t>
  </si>
  <si>
    <t>H87</t>
  </si>
  <si>
    <t>DDAL00-06 | PotA-Addendum | DDHC-ToA-1-Ch-5</t>
  </si>
  <si>
    <t>H88</t>
  </si>
  <si>
    <t>CCC-BMG-37/HULB3-1 | WBW-DC-SUNLIT-06</t>
  </si>
  <si>
    <t>Mirror of Life Trapping</t>
  </si>
  <si>
    <t>H89</t>
  </si>
  <si>
    <t>Nine Lives Stealer</t>
  </si>
  <si>
    <t>DMG 183</t>
  </si>
  <si>
    <t>H90</t>
  </si>
  <si>
    <t>DDAL07-11 | DDHC-DMM-Lvl-22 | CCC-QCC2018-01</t>
  </si>
  <si>
    <t>Nine Lives Stealer, Greatsword</t>
  </si>
  <si>
    <t>Nine Lives Stealer, Longsword</t>
  </si>
  <si>
    <t>DDAL07-11 | DDHC-DMM-Lvl-22</t>
  </si>
  <si>
    <t>Nine Lives Stealer, Rapier</t>
  </si>
  <si>
    <t>Nine Lives Stealer, Scimitar</t>
  </si>
  <si>
    <t>CCC-QCC2018-01</t>
  </si>
  <si>
    <t>Nine Lives Stealer, Shortsword</t>
  </si>
  <si>
    <t>D96-98</t>
  </si>
  <si>
    <t>DDHC-TYP-Ch-6 | DDHC-ToA-1-Ch-2 | DDHC-DMM-Lvl-13</t>
  </si>
  <si>
    <t>longbow</t>
  </si>
  <si>
    <t>H91</t>
  </si>
  <si>
    <t>DRW-08 | DDEX3-7 | DDHC-SKT-Ch-3 | DDAL09-18 | CCC-OCC-01 | WBW-DC-TMP-03</t>
  </si>
  <si>
    <t>DDAL05-15 | 5DDHC-SKT-Ch-7</t>
  </si>
  <si>
    <t>H17-18</t>
  </si>
  <si>
    <t>DRW-15 | DDHC-CoS-Ch-8 | CCC-MIND01-02 | SJ-DC-NOS-02 | SJ-Magic Item Table D</t>
  </si>
  <si>
    <t>H19-20</t>
  </si>
  <si>
    <t>DDHC-CM-Ch-9 | PO-BK-1-06 | DDEP5-2-T3 | DDAL05-18 | DDHC-TYP-Ch-6 | DDAL08-15 | DDHC-WBW-Ch-4</t>
  </si>
  <si>
    <t>H21-22</t>
  </si>
  <si>
    <t>DDEP00-01-T3 | DDHC-CM-Ch-10 | DDHC-KGV-Ch-13</t>
  </si>
  <si>
    <t>DMG 194</t>
  </si>
  <si>
    <t>H23-24</t>
  </si>
  <si>
    <t>DDHC-CM-Ch-8 | DDAL05-18 | CCC-TRI-01</t>
  </si>
  <si>
    <t>H25-26</t>
  </si>
  <si>
    <t>PO-BK2-08 | DDEX3-16 | DDAL05-18 | CCC-TRI-28 | WBW-DC-EBAL-MEF2</t>
  </si>
  <si>
    <t>H27-28</t>
  </si>
  <si>
    <t>DDAL00-02E | PO-BK-1-07 | CCC-HATMS02-02 | CCC-SVH-01-03 | CCC-TRI-02</t>
  </si>
  <si>
    <t>DMG 196</t>
  </si>
  <si>
    <t>H29-30</t>
  </si>
  <si>
    <t>DDAL00-03 T3 | WBW-DC-BIRE-07</t>
  </si>
  <si>
    <t>H31-32</t>
  </si>
  <si>
    <t>FTD 24</t>
  </si>
  <si>
    <t>DRW-19</t>
  </si>
  <si>
    <t>scimitar</t>
  </si>
  <si>
    <t>H35-36</t>
  </si>
  <si>
    <t>DDHC-OotA-Ch-15 | WBW-DC-ANDL-03 | SJ-DC-VMT-01 | SJ-Magic Item Table D</t>
  </si>
  <si>
    <t>Shard of the Ise Rune</t>
  </si>
  <si>
    <t>WDMM 299</t>
  </si>
  <si>
    <t>DRW-04</t>
  </si>
  <si>
    <t>Soul Bag</t>
  </si>
  <si>
    <t>spear/javelin</t>
  </si>
  <si>
    <t>DDHC-TYP-Ch-7</t>
  </si>
  <si>
    <t>H93</t>
  </si>
  <si>
    <t>DRW-EP-02 | CCC-ODFC01-03 | CCC-ROZK01-3</t>
  </si>
  <si>
    <t>quarterstaff</t>
  </si>
  <si>
    <t>CM 183</t>
  </si>
  <si>
    <t>DDHC-CM-Ch-14</t>
  </si>
  <si>
    <t>druid, sorcerer, warlock, or wizard</t>
  </si>
  <si>
    <t>H39-40</t>
  </si>
  <si>
    <t>DDHC-HotDQ-Ch-8 | DDHC-SKT-Ch-3</t>
  </si>
  <si>
    <t>H41-42</t>
  </si>
  <si>
    <t>DDAL00-11e | DDHC-JRC-Ch-11 | DRW-05 | DDHC-CoS-Ch-13 | DDHC-TYP-Ch-6 | DDHC-RotFM-Ch-1</t>
  </si>
  <si>
    <t>sorcerer, warlock, or wizard</t>
  </si>
  <si>
    <t>H43-44</t>
  </si>
  <si>
    <t>DDEP4-T3 | DDHC-CoS-Ch-4 | DDAL05-19 | DDHC-WDH-Ch-8 | DDHC-DMM-Lvl-22 | DDHC-RotFM-Ch-7 | WBW-DC-DMMC-01 | WBW-DC-PHP-ORNG-02 | DDHC-WBW-Ch-5</t>
  </si>
  <si>
    <t>H45-46</t>
  </si>
  <si>
    <t>DDAL07-12 | DDHC-ToA-1-Ch-5 | CCC-TRI-14 | DDAL10-10 | DDHC-WBW-Ch-5 | SJ-Magic Item Table D</t>
  </si>
  <si>
    <t>H47-48</t>
  </si>
  <si>
    <t>DDAL05-08</t>
  </si>
  <si>
    <t>Steel</t>
  </si>
  <si>
    <t>longsword; good-aligned creature</t>
  </si>
  <si>
    <t>Stonky's Ring</t>
  </si>
  <si>
    <t>CM</t>
  </si>
  <si>
    <t>DDHC-CM-Ch-10</t>
  </si>
  <si>
    <t>Sword of Sharpness</t>
  </si>
  <si>
    <t>any sword that deals slashing damage</t>
  </si>
  <si>
    <t>H49-50</t>
  </si>
  <si>
    <t>DDAL08-14</t>
  </si>
  <si>
    <t>Sword of Sharpness, Greatsword</t>
  </si>
  <si>
    <t>Sword of Sharpness, Longsword</t>
  </si>
  <si>
    <t>Sword of Sharpness, Scimitar</t>
  </si>
  <si>
    <t>H98</t>
  </si>
  <si>
    <t>DDHC-MORD-02 | DDHC-TYP-Ch-6 | DDEP07-02-T4 | DDHC-DMM-Lvl-16 | CCC-BMG-38/HULB3-2 | WBW-DC-Death-01</t>
  </si>
  <si>
    <t>H99</t>
  </si>
  <si>
    <t>DDEP07-02-T4 | CCC-ROZK01-2 | CCC-TRI-15 | WBW-DC-MOM-02</t>
  </si>
  <si>
    <t>H00</t>
  </si>
  <si>
    <t>DDHC-CoS-Ch-13 | DDAL05-19 | CCC-BMG-14/PHLAN1-2 | WBW-DC-PHP-LCL-01 | WBW-DC-TEN-03</t>
  </si>
  <si>
    <t>Wakened Dragon Vessel</t>
  </si>
  <si>
    <t>Wakened Dragon-Touched Focus</t>
  </si>
  <si>
    <t>Wakened Dragon's Wrath Weapon, Generic</t>
  </si>
  <si>
    <t>Wakened Scaled Ornament</t>
  </si>
  <si>
    <t>H51-52</t>
  </si>
  <si>
    <t>DDHC-CM-Ch-16 | DDAL07-13 | DDEP07-02-T3 | CCC-TRI-20</t>
  </si>
  <si>
    <t>Whisper</t>
  </si>
  <si>
    <t>DDHC-TOA-8</t>
  </si>
  <si>
    <t>+3 Armor, Breastplate</t>
  </si>
  <si>
    <t>I76(7-8)</t>
  </si>
  <si>
    <t>+3 Armor, Chain Mail</t>
  </si>
  <si>
    <t>I46-47</t>
  </si>
  <si>
    <t>+3 Armor, Chain Shirt</t>
  </si>
  <si>
    <t>I48-49</t>
  </si>
  <si>
    <t>+3 Armor, Half-Plate</t>
  </si>
  <si>
    <t>I76(11)</t>
  </si>
  <si>
    <t>+3 Armor, Hide</t>
  </si>
  <si>
    <t>+3 Armor, Leather</t>
  </si>
  <si>
    <t>I58-59</t>
  </si>
  <si>
    <t>+3 Armor, Padded</t>
  </si>
  <si>
    <t>+3 Armor, Plate</t>
  </si>
  <si>
    <t>I76(12)</t>
  </si>
  <si>
    <t>+3 Armor, Ring Mail</t>
  </si>
  <si>
    <t>+3 Armor, Scale Mail</t>
  </si>
  <si>
    <t>DDHC-OotA-Ch-15</t>
  </si>
  <si>
    <t>+3 Armor, Splint</t>
  </si>
  <si>
    <t>I76(9-10)</t>
  </si>
  <si>
    <t>+3 Armor, Studded Leather</t>
  </si>
  <si>
    <t>I76(5-6)</t>
  </si>
  <si>
    <t>I77</t>
  </si>
  <si>
    <t>5DDHC-SKT-Ch-10 | DDHC-WDH-Ch-4</t>
  </si>
  <si>
    <t>Armor of Invulnerability</t>
  </si>
  <si>
    <t>I78</t>
  </si>
  <si>
    <t>Ascendant Dragon Vessel</t>
  </si>
  <si>
    <t>Ascendant Dragon-Touched Focus</t>
  </si>
  <si>
    <t>Ascendant Dragon's Wrath Weapon, Generic</t>
  </si>
  <si>
    <t>Ascendant Scaled Ornament</t>
  </si>
  <si>
    <t>Belt of Cloud Giant Strength</t>
  </si>
  <si>
    <t>I42-44</t>
  </si>
  <si>
    <t>I79</t>
  </si>
  <si>
    <t>DDAL06-03</t>
  </si>
  <si>
    <t>proficiency in Arcana</t>
  </si>
  <si>
    <t>WDMM 284</t>
  </si>
  <si>
    <t>DDHC-DMM-Lvl-22</t>
  </si>
  <si>
    <t>greatsword; creature of non-lawful alignment</t>
  </si>
  <si>
    <t>DMG</t>
  </si>
  <si>
    <t>DDHC-TYP-Ch-4</t>
  </si>
  <si>
    <t>I50-51</t>
  </si>
  <si>
    <t>DDEP06-03-T4</t>
  </si>
  <si>
    <t>Crystal Ball of Mind Reading</t>
  </si>
  <si>
    <t>I52-53</t>
  </si>
  <si>
    <t>Crystal Ball of Telepathy</t>
  </si>
  <si>
    <t>I80</t>
  </si>
  <si>
    <t>DDAL00-11c | PO-BK2-10 | DDAL08-17</t>
  </si>
  <si>
    <t>DMG 164</t>
  </si>
  <si>
    <t>I01-05</t>
  </si>
  <si>
    <t>DDHC-TYP-Ch-7 | DDAL09-20</t>
  </si>
  <si>
    <t>Defender, Greatsword</t>
  </si>
  <si>
    <t>DDAL09-20</t>
  </si>
  <si>
    <t>Defender, Longsword</t>
  </si>
  <si>
    <t>Defender, Rapier</t>
  </si>
  <si>
    <t>Defender, Scimitar</t>
  </si>
  <si>
    <t>Defender, Shortsword</t>
  </si>
  <si>
    <t>Dragonlance</t>
  </si>
  <si>
    <t>lance or pike</t>
  </si>
  <si>
    <t>Efreeti Chain</t>
  </si>
  <si>
    <t>chain mail</t>
  </si>
  <si>
    <t>I82</t>
  </si>
  <si>
    <t>DDAL07-15</t>
  </si>
  <si>
    <t>some</t>
  </si>
  <si>
    <t>DDAL05-19</t>
  </si>
  <si>
    <t>alcc I</t>
  </si>
  <si>
    <t>Figurine of Wondrous Power, Gold Canary</t>
  </si>
  <si>
    <t>Flail of Tiamat</t>
  </si>
  <si>
    <t>flail</t>
  </si>
  <si>
    <t>creature with psionic ability</t>
  </si>
  <si>
    <t>MTF</t>
  </si>
  <si>
    <t>Gurt's Greataxe</t>
  </si>
  <si>
    <t>maul</t>
  </si>
  <si>
    <t>I06-10</t>
  </si>
  <si>
    <t>Hammock of Worlds</t>
  </si>
  <si>
    <t>DDHC-JRC-Ch-13</t>
  </si>
  <si>
    <t>Hammock of Worlds, Lesser</t>
  </si>
  <si>
    <t>DDHC-JRC-Ch-13 | DDHC-JRC-Ch-13</t>
  </si>
  <si>
    <t>Helm of the Scavenger</t>
  </si>
  <si>
    <t>Holy Avenger</t>
  </si>
  <si>
    <t>paladin</t>
  </si>
  <si>
    <t>I21-23</t>
  </si>
  <si>
    <t>Holy Avenger, Greatsword</t>
  </si>
  <si>
    <t>Holy Avenger, Longsword</t>
  </si>
  <si>
    <t>Holy Avenger, Rapier</t>
  </si>
  <si>
    <t>Holy Avenger, Scimitar</t>
  </si>
  <si>
    <t>Holy Avenger, Shortsword</t>
  </si>
  <si>
    <t>Horn of Valhalla, Iron</t>
  </si>
  <si>
    <t>I84</t>
  </si>
  <si>
    <t>Instrument of the Bards, Ollamh Harp</t>
  </si>
  <si>
    <t>I85</t>
  </si>
  <si>
    <t>Ioun Stone, Greater Absorption</t>
  </si>
  <si>
    <t>I86</t>
  </si>
  <si>
    <t>Ioun Stone, Mastery</t>
  </si>
  <si>
    <t>I87</t>
  </si>
  <si>
    <t>DDAL00-11f</t>
  </si>
  <si>
    <t>Ioun Stone, Regeneration</t>
  </si>
  <si>
    <t>I88</t>
  </si>
  <si>
    <t>DDEX3-4</t>
  </si>
  <si>
    <t>Luck Blade</t>
  </si>
  <si>
    <t>I11-15</t>
  </si>
  <si>
    <t>Luck Blade, Greatsword</t>
  </si>
  <si>
    <t>Luck Blade, Longsword</t>
  </si>
  <si>
    <t>Luck Blade, Rapier</t>
  </si>
  <si>
    <t>Luck Blade, Scimitar</t>
  </si>
  <si>
    <t>Luck Blade, Shortsword</t>
  </si>
  <si>
    <t>warhammer</t>
  </si>
  <si>
    <t>BGDIA 224</t>
  </si>
  <si>
    <t>DDHC-DIA-Ch-5</t>
  </si>
  <si>
    <t>Moonblade</t>
  </si>
  <si>
    <t>longsword; elf or half-elf of neutral good alignment</t>
  </si>
  <si>
    <t>Obsidian Flint Dragon Plate</t>
  </si>
  <si>
    <t>Orcsplitter</t>
  </si>
  <si>
    <t>PotA 224</t>
  </si>
  <si>
    <t>DDHC-PotA-Ch-6 | PotA-Addendum</t>
  </si>
  <si>
    <t>Plate Armor of Etherealness</t>
  </si>
  <si>
    <t>I89</t>
  </si>
  <si>
    <t>DDAL08-16</t>
  </si>
  <si>
    <t>DMG 190</t>
  </si>
  <si>
    <t>I91</t>
  </si>
  <si>
    <t>Ring of Djinni Summoning</t>
  </si>
  <si>
    <t>I24-26</t>
  </si>
  <si>
    <t>I92</t>
  </si>
  <si>
    <t>Ring of Fire Elemental Command</t>
  </si>
  <si>
    <t>I93</t>
  </si>
  <si>
    <t>Ring of Invisibility</t>
  </si>
  <si>
    <t>I27-29</t>
  </si>
  <si>
    <t>DDHC-TYP-Ch-6 | DDEP08-03-T4</t>
  </si>
  <si>
    <t>I30-32</t>
  </si>
  <si>
    <t>Ring of Three Wishes</t>
  </si>
  <si>
    <t>I94</t>
  </si>
  <si>
    <t>Ring of Water Elemental Command</t>
  </si>
  <si>
    <t>I95</t>
  </si>
  <si>
    <t>I62-63</t>
  </si>
  <si>
    <t>DDAL00-03 T4 | DDAL00-03 T4 | DDHC-WBW-Ch-5</t>
  </si>
  <si>
    <t>I33-35</t>
  </si>
  <si>
    <t>I64-65</t>
  </si>
  <si>
    <t>DDAL08-18</t>
  </si>
  <si>
    <t>I68-69</t>
  </si>
  <si>
    <t>DRW-08 | DDAL07-18 | DDAL09-19</t>
  </si>
  <si>
    <t>Sovereign Glue</t>
  </si>
  <si>
    <t>E99-00</t>
  </si>
  <si>
    <t>I36-38</t>
  </si>
  <si>
    <t>DDHC-SKT-Ch-1 | DDAL07-17</t>
  </si>
  <si>
    <t>Sword of Answering, Generic</t>
  </si>
  <si>
    <t>longsword, by alignment</t>
  </si>
  <si>
    <t>I16-20</t>
  </si>
  <si>
    <t>Talarith</t>
  </si>
  <si>
    <t>reigar who created it</t>
  </si>
  <si>
    <t>BAM 47</t>
  </si>
  <si>
    <t>Talisman of Pure Good</t>
  </si>
  <si>
    <t>good alignment</t>
  </si>
  <si>
    <t>I97</t>
  </si>
  <si>
    <t>I98</t>
  </si>
  <si>
    <t>I00</t>
  </si>
  <si>
    <t>DDHC-TYP-Ch-5 | CCC-GHC-BK03-09</t>
  </si>
  <si>
    <t>Topaz Annihilator</t>
  </si>
  <si>
    <t>E86-93</t>
  </si>
  <si>
    <t>Vorpal Sword</t>
  </si>
  <si>
    <t>I39-41</t>
  </si>
  <si>
    <t>DDAL07-16</t>
  </si>
  <si>
    <t>Vorpal Sword, Greatsword</t>
  </si>
  <si>
    <t>Vorpal Sword, Longsword</t>
  </si>
  <si>
    <t>Vorpal Sword, Scimitar</t>
  </si>
  <si>
    <t>trident; creature that worships a god of the sea</t>
  </si>
  <si>
    <t>Whelm</t>
  </si>
  <si>
    <t>warhammer; dwarf</t>
  </si>
  <si>
    <t>Baba Yaga's Mortar and Pestle</t>
  </si>
  <si>
    <t>Artifact</t>
  </si>
  <si>
    <t>Baba Yaga's Pestle</t>
  </si>
  <si>
    <t>Blade of Avernus</t>
  </si>
  <si>
    <t>BGDIA 150</t>
  </si>
  <si>
    <t>Book of Exalted Deeds</t>
  </si>
  <si>
    <t>Book of Vile Darkness</t>
  </si>
  <si>
    <t>Crook of Rao</t>
  </si>
  <si>
    <t>Demonomicon of Iggwilv</t>
  </si>
  <si>
    <t>Draakhorn</t>
  </si>
  <si>
    <t>RoT-93</t>
  </si>
  <si>
    <t>DDHC-RoT-Ch-9</t>
  </si>
  <si>
    <t>Luba's Tarokka of Souls</t>
  </si>
  <si>
    <t>Mighty Servant of Leuk-o</t>
  </si>
  <si>
    <t>Sword of Kas</t>
  </si>
  <si>
    <t>Teeth of Dahlver-Nar</t>
  </si>
  <si>
    <t>Wand of Orcus</t>
  </si>
  <si>
    <t>Bullseye Lantern Skull</t>
  </si>
  <si>
    <t>Clockwork Dog</t>
  </si>
  <si>
    <t>SKT</t>
  </si>
  <si>
    <t>DDHC-SKT-Ch-2</t>
  </si>
  <si>
    <t>Codicil of White</t>
  </si>
  <si>
    <t>RotF 317</t>
  </si>
  <si>
    <t>Dagger of Guitar Solos</t>
  </si>
  <si>
    <t>DDHC-DMM-Lvl-17</t>
  </si>
  <si>
    <t>Draconic Longsword</t>
  </si>
  <si>
    <t>Dragongleam</t>
  </si>
  <si>
    <t>HotDQ 69</t>
  </si>
  <si>
    <t>Faerie Dust</t>
  </si>
  <si>
    <t>Falkir's Helm of Pigheadedness</t>
  </si>
  <si>
    <t>DDHC-DMM-Lvl-10</t>
  </si>
  <si>
    <t>Gravenhollow Compass Ring</t>
  </si>
  <si>
    <t>DDHC-OotA-Ch-9</t>
  </si>
  <si>
    <t>Green Copper Ewer</t>
  </si>
  <si>
    <t>DDHC-CoS-Ch-13</t>
  </si>
  <si>
    <t>Hag Eye</t>
  </si>
  <si>
    <t>MM</t>
  </si>
  <si>
    <t>Iron Ball</t>
  </si>
  <si>
    <t>Jade Serpent Staff</t>
  </si>
  <si>
    <t>Mind Flayer Skull</t>
  </si>
  <si>
    <t>Pearl of Undead Detection</t>
  </si>
  <si>
    <t>Radiance</t>
  </si>
  <si>
    <t>CM 87</t>
  </si>
  <si>
    <t>DDHC-CM-Ch-6</t>
  </si>
  <si>
    <t>Shield of Shouting</t>
  </si>
  <si>
    <t>DDHC-ToA-1-Ch-4</t>
  </si>
  <si>
    <t>Silver Sword</t>
  </si>
  <si>
    <t>Teleporter Ring</t>
  </si>
  <si>
    <t>WDH</t>
  </si>
  <si>
    <t>The Codicil of White</t>
  </si>
  <si>
    <t>IDRotF</t>
  </si>
  <si>
    <t>Tloques' Berserker Axe</t>
  </si>
  <si>
    <t>TYP 69</t>
  </si>
  <si>
    <t>Adamantine Rod</t>
  </si>
  <si>
    <t>Story Item</t>
  </si>
  <si>
    <t>BGDIA</t>
  </si>
  <si>
    <t>Ancient Relic Boulder</t>
  </si>
  <si>
    <t>SKT 103</t>
  </si>
  <si>
    <t>Ancient Relic Ring of Hardened Magma</t>
  </si>
  <si>
    <t>Azuredge</t>
  </si>
  <si>
    <t>Blackstaff</t>
  </si>
  <si>
    <t>staff; attunement by the blackstaff heir, who must be a wizard</t>
  </si>
  <si>
    <t>PO-BK2-07 | DDHC-DMM-Lvl-23</t>
  </si>
  <si>
    <t>Conch of Teleportation</t>
  </si>
  <si>
    <t>5DDHC-SKT-Ch-5 | 5DDHC-SKT-Ch-6 | 5DDHC-SKT-Ch-8 | 5DDHC-SKT-Ch-9 | 5DDHC-SKT-Ch-7 | 5DDHC-SKT-Ch-10</t>
  </si>
  <si>
    <t>Deck of Several Things</t>
  </si>
  <si>
    <t>Dragon Mask, Generic</t>
  </si>
  <si>
    <t>RoT Supplement</t>
  </si>
  <si>
    <t>Dragonslayer</t>
  </si>
  <si>
    <t>DMG 166 / DoIP 21</t>
  </si>
  <si>
    <t>DDHC-DoIP-Ch-4</t>
  </si>
  <si>
    <t>Dragonstaff of Ahghairon</t>
  </si>
  <si>
    <t>DDHC-WDH-Ch-4</t>
  </si>
  <si>
    <t>Drown</t>
  </si>
  <si>
    <t>DDHC-PotA-Ch-4 | DDHC-PotA-Ch-5</t>
  </si>
  <si>
    <t>Figurine of Orcus</t>
  </si>
  <si>
    <t>CM 44</t>
  </si>
  <si>
    <t>DDHC-CM-Ch-3</t>
  </si>
  <si>
    <t>Hazirawn</t>
  </si>
  <si>
    <t>optional</t>
  </si>
  <si>
    <t>greatsword</t>
  </si>
  <si>
    <t>HotDQ 94</t>
  </si>
  <si>
    <t>Holy Symbol of Ravenkind</t>
  </si>
  <si>
    <t>DDHC-CoS-Ch-1</t>
  </si>
  <si>
    <t>Icon of Ravenloft</t>
  </si>
  <si>
    <t>Iggwilv's Cauldron</t>
  </si>
  <si>
    <t>Infernal Puzzle Box</t>
  </si>
  <si>
    <t>DDHC-DIA-Ch-1</t>
  </si>
  <si>
    <t>Ironfang</t>
  </si>
  <si>
    <t>war pick</t>
  </si>
  <si>
    <t>Lord's Ensemble</t>
  </si>
  <si>
    <t>humanoid build</t>
  </si>
  <si>
    <t>Mask of the Dragon Queen</t>
  </si>
  <si>
    <t>RoT-94</t>
  </si>
  <si>
    <t>Navigation Orb</t>
  </si>
  <si>
    <t>Nether Scroll of Azumar</t>
  </si>
  <si>
    <t>Scroll</t>
  </si>
  <si>
    <t>CM 210</t>
  </si>
  <si>
    <t>Orb of Dragonkind</t>
  </si>
  <si>
    <t>DMG 225</t>
  </si>
  <si>
    <t>Polymorph Blade</t>
  </si>
  <si>
    <t>Shield of the Hidden Lord</t>
  </si>
  <si>
    <t>BGDIA 225</t>
  </si>
  <si>
    <t>DDHC-DIA-Ch-1 | DDHC-DIA-02</t>
  </si>
  <si>
    <t>Snicker-Snack</t>
  </si>
  <si>
    <t>greatsword; non-evil creature</t>
  </si>
  <si>
    <t>Statuette of Saint Markovia</t>
  </si>
  <si>
    <t>CoS 152</t>
  </si>
  <si>
    <t>DDHC-CoS-Ch-8</t>
  </si>
  <si>
    <t>Stone of Golorr</t>
  </si>
  <si>
    <t>Sunsword</t>
  </si>
  <si>
    <t>CoS 223</t>
  </si>
  <si>
    <t>Sword of Zariel</t>
  </si>
  <si>
    <t>longsword; a creautre the sword deems worthy</t>
  </si>
  <si>
    <t>BGDIA 226</t>
  </si>
  <si>
    <t>DDHC-DIA-Ch-4</t>
  </si>
  <si>
    <t>Tearuli</t>
  </si>
  <si>
    <t>Tinderstrike</t>
  </si>
  <si>
    <t>PotA 225</t>
  </si>
  <si>
    <t>Tiny Drum of the Pink Flumph</t>
  </si>
  <si>
    <t>???</t>
  </si>
  <si>
    <t>Void Shard</t>
  </si>
  <si>
    <t>Waythe</t>
  </si>
  <si>
    <t>Windvane</t>
  </si>
  <si>
    <t>Spear</t>
  </si>
  <si>
    <t>Witchlight Vane</t>
  </si>
  <si>
    <t>mister light or handpicked successor</t>
  </si>
  <si>
    <t>WBtW 27</t>
  </si>
  <si>
    <t>DDHC-WBW-Ch-1</t>
  </si>
  <si>
    <t>Witchlight Watch</t>
  </si>
  <si>
    <t>WBtW 25</t>
  </si>
  <si>
    <t>+1 Armor, Mithral Splint</t>
  </si>
  <si>
    <t>Unavailable</t>
  </si>
  <si>
    <t>Bookmark</t>
  </si>
  <si>
    <t>WBW-PR</t>
  </si>
  <si>
    <t>Dawnbringer</t>
  </si>
  <si>
    <t>non-evil alignment</t>
  </si>
  <si>
    <t>DDHC-OotA-Ch-2</t>
  </si>
  <si>
    <t>Deck of Many Things</t>
  </si>
  <si>
    <t>DMG 162</t>
  </si>
  <si>
    <t>I81</t>
  </si>
  <si>
    <t>Eye of Vecna</t>
  </si>
  <si>
    <t>Fane-Eater</t>
  </si>
  <si>
    <t>evil cleric or paladin</t>
  </si>
  <si>
    <t>Giant-sized Staff of the Magi</t>
  </si>
  <si>
    <t>DDHC-SKT-Ch-1</t>
  </si>
  <si>
    <t>Hand of Vecna</t>
  </si>
  <si>
    <t>DMG 224</t>
  </si>
  <si>
    <t>Harshnag's Armor</t>
  </si>
  <si>
    <t>Harshnag's Axe</t>
  </si>
  <si>
    <t>Infernal Tack</t>
  </si>
  <si>
    <t>evil alignment</t>
  </si>
  <si>
    <t>Iron Flask</t>
  </si>
  <si>
    <t>I56-57</t>
  </si>
  <si>
    <t>DDHC-SKT-Ch-3 | 5DDHC-SKT-Ch-8 | DDHC-DIA-Ch-4</t>
  </si>
  <si>
    <t>Korolnor Scepter</t>
  </si>
  <si>
    <t>5DDHC-SKT-Ch-10 | 5DDHC-SKT-Ch-12</t>
  </si>
  <si>
    <t>Lost Crown of Besilmer</t>
  </si>
  <si>
    <t>Philter of Love</t>
  </si>
  <si>
    <t>Potion</t>
  </si>
  <si>
    <t>Powered Armor</t>
  </si>
  <si>
    <t>Ring of Winter</t>
  </si>
  <si>
    <t>Shadowsong</t>
  </si>
  <si>
    <t>DDEX3-7</t>
  </si>
  <si>
    <t>Shield Guardian Control Amulet</t>
  </si>
  <si>
    <t>MM 271</t>
  </si>
  <si>
    <t>DDHC-PotA-Ch-6 | DDHC-ToA-1-Ch-2</t>
  </si>
  <si>
    <t>Slaad Control Gem</t>
  </si>
  <si>
    <t>MM 274</t>
  </si>
  <si>
    <t>Spell Gem, Generic</t>
  </si>
  <si>
    <t>DDHC-OotA-Ch-6</t>
  </si>
  <si>
    <t>Spell Gem, Star Ruby</t>
  </si>
  <si>
    <t>Sphere of Annihilation</t>
  </si>
  <si>
    <t>I96</t>
  </si>
  <si>
    <t>DDHC-ToA-1-Ch-5 | DDHC-TOA-7</t>
  </si>
  <si>
    <t>Staff of the Forgotten One</t>
  </si>
  <si>
    <t>Talisman of Ultimate Evil</t>
  </si>
  <si>
    <t>I99</t>
  </si>
  <si>
    <t>Well of Many Worlds</t>
  </si>
  <si>
    <t>I74-75</t>
  </si>
  <si>
    <t>Wyrmskull Throne</t>
  </si>
  <si>
    <t>SKT 237</t>
  </si>
  <si>
    <t>5DDHC-SKT-Ch-10</t>
  </si>
  <si>
    <t>Outer Essence Shard, Lawful</t>
  </si>
  <si>
    <t>Outer Essence Shard, Good</t>
  </si>
  <si>
    <t>Outer Essence Shard, Evil</t>
  </si>
  <si>
    <t>Outer Essence Shard, Chaotic</t>
  </si>
  <si>
    <t>Simple Melee Weapons</t>
  </si>
  <si>
    <t>Light Armor</t>
  </si>
  <si>
    <t>Spellcasting Assistance Items</t>
  </si>
  <si>
    <t>Generic +1</t>
  </si>
  <si>
    <t>Generic +2</t>
  </si>
  <si>
    <t>Generic +3</t>
  </si>
  <si>
    <t>Cost</t>
  </si>
  <si>
    <t>Damage</t>
  </si>
  <si>
    <t>Weight</t>
  </si>
  <si>
    <t>Properties</t>
  </si>
  <si>
    <t>Armor Class (AC)</t>
  </si>
  <si>
    <t>Stealth</t>
  </si>
  <si>
    <t>Club</t>
  </si>
  <si>
    <t>1 sp</t>
  </si>
  <si>
    <t>1d4 bludgeoning</t>
  </si>
  <si>
    <t>2 lb.</t>
  </si>
  <si>
    <t>Light</t>
  </si>
  <si>
    <t>Padded</t>
  </si>
  <si>
    <t>11 + Dex modifier</t>
  </si>
  <si>
    <t>Disadvantage</t>
  </si>
  <si>
    <t>8 lb.</t>
  </si>
  <si>
    <t>5 gp</t>
  </si>
  <si>
    <t>All Purpose Tool</t>
  </si>
  <si>
    <t>Dagger</t>
  </si>
  <si>
    <t>2 gp</t>
  </si>
  <si>
    <t>1d4 piercing</t>
  </si>
  <si>
    <t>1 lb.</t>
  </si>
  <si>
    <t>Finesse, light, thrown (20/60)</t>
  </si>
  <si>
    <t>Leather</t>
  </si>
  <si>
    <t>10 lb.</t>
  </si>
  <si>
    <t>10 gp</t>
  </si>
  <si>
    <t>Amulet of the Devout</t>
  </si>
  <si>
    <t>Greatclub</t>
  </si>
  <si>
    <t>2 sp</t>
  </si>
  <si>
    <t>1d8 bludgeoning</t>
  </si>
  <si>
    <t>Two-handed</t>
  </si>
  <si>
    <t>Studded Leather</t>
  </si>
  <si>
    <t>12 + Dex Modifier</t>
  </si>
  <si>
    <t>13 lb.</t>
  </si>
  <si>
    <t>45 gp</t>
  </si>
  <si>
    <t>Rhythm Maker's Drum</t>
  </si>
  <si>
    <t>Handaxe</t>
  </si>
  <si>
    <t>1d6 slashing</t>
  </si>
  <si>
    <t>Light, thrown (20/60)</t>
  </si>
  <si>
    <t>Glamoured</t>
  </si>
  <si>
    <t>Dragonhide Belt</t>
  </si>
  <si>
    <t>Javelin</t>
  </si>
  <si>
    <t>5 sp</t>
  </si>
  <si>
    <t>1d6 piercing</t>
  </si>
  <si>
    <t>Thrown (30/120)</t>
  </si>
  <si>
    <t>Moon Sickle</t>
  </si>
  <si>
    <t>Light hammer</t>
  </si>
  <si>
    <t>Medium Armor</t>
  </si>
  <si>
    <t>Bloodwell Vial</t>
  </si>
  <si>
    <t>Mace</t>
  </si>
  <si>
    <t>1d6 bludgeoning</t>
  </si>
  <si>
    <t>4 lb.</t>
  </si>
  <si>
    <t>—</t>
  </si>
  <si>
    <t>Rod of the Pactkeeper</t>
  </si>
  <si>
    <t>Quarterstaff</t>
  </si>
  <si>
    <t>Versatile (1d8)</t>
  </si>
  <si>
    <t>Hide</t>
  </si>
  <si>
    <t>12 + Dex modifier (max 2)</t>
  </si>
  <si>
    <t>12 lb.</t>
  </si>
  <si>
    <t>Arcane Grimoire</t>
  </si>
  <si>
    <t>Sickle</t>
  </si>
  <si>
    <t>1 gp</t>
  </si>
  <si>
    <t>1d4 slashing</t>
  </si>
  <si>
    <t>Chain Shirt</t>
  </si>
  <si>
    <t>13 + Dex modifier (max 2)</t>
  </si>
  <si>
    <t>20 lb.</t>
  </si>
  <si>
    <t>50 gp</t>
  </si>
  <si>
    <t>3 lb.</t>
  </si>
  <si>
    <t>Thrown (20/60), versatile (1d8)</t>
  </si>
  <si>
    <t>Scale Mail</t>
  </si>
  <si>
    <t>14 + Dex modifier (max 2)</t>
  </si>
  <si>
    <t>45 lb.</t>
  </si>
  <si>
    <t>Strength Increasing Items</t>
  </si>
  <si>
    <t>Spiked Armor</t>
  </si>
  <si>
    <t>75 gp</t>
  </si>
  <si>
    <t>Simple Ranged Weapons</t>
  </si>
  <si>
    <t>Breastplate</t>
  </si>
  <si>
    <t>400 gp</t>
  </si>
  <si>
    <t>Halfplate</t>
  </si>
  <si>
    <t>15 + Dex modifier (max 2)</t>
  </si>
  <si>
    <t>40 lb.</t>
  </si>
  <si>
    <t>750 gp</t>
  </si>
  <si>
    <t>Light crossbow</t>
  </si>
  <si>
    <t>25 gp</t>
  </si>
  <si>
    <t>1d8 piercing</t>
  </si>
  <si>
    <t>5 lb.</t>
  </si>
  <si>
    <t>Ammunition, range (80/320), loading, two-handed</t>
  </si>
  <si>
    <t>Dart</t>
  </si>
  <si>
    <t>5 cp</t>
  </si>
  <si>
    <t>1/4 lb.</t>
  </si>
  <si>
    <t>Finesse, thrown (20/60)</t>
  </si>
  <si>
    <t>Mithral Armor (Halfplate)</t>
  </si>
  <si>
    <t>Shortbow</t>
  </si>
  <si>
    <t>Ammunition, range (80/320), two-handed</t>
  </si>
  <si>
    <t>Heavy Armor</t>
  </si>
  <si>
    <t>Sling</t>
  </si>
  <si>
    <t>Ammunition, range (30/120)</t>
  </si>
  <si>
    <t>Ring Mail</t>
  </si>
  <si>
    <t>30 gp</t>
  </si>
  <si>
    <t>Martial Melee Weapons</t>
  </si>
  <si>
    <t>Chain Mail</t>
  </si>
  <si>
    <t>Str 13</t>
  </si>
  <si>
    <t>55 lb.</t>
  </si>
  <si>
    <t>Splint</t>
  </si>
  <si>
    <t>Str 15</t>
  </si>
  <si>
    <t>60 lb.</t>
  </si>
  <si>
    <t>200 gp</t>
  </si>
  <si>
    <t>Constitution Increasing Items</t>
  </si>
  <si>
    <t>Battleaxe</t>
  </si>
  <si>
    <t>1d8 slashing</t>
  </si>
  <si>
    <t>Versatile (1d10)</t>
  </si>
  <si>
    <t>Plate</t>
  </si>
  <si>
    <t>65 lb.</t>
  </si>
  <si>
    <t>1,500 gp</t>
  </si>
  <si>
    <t>Flail</t>
  </si>
  <si>
    <t>Glaive</t>
  </si>
  <si>
    <t>20 gp</t>
  </si>
  <si>
    <t>1d10 slashing</t>
  </si>
  <si>
    <t>6 lb.</t>
  </si>
  <si>
    <t>Heavy, reach, two-handed</t>
  </si>
  <si>
    <t>Greataxe</t>
  </si>
  <si>
    <t>1d12 slashing</t>
  </si>
  <si>
    <t>7 lb.</t>
  </si>
  <si>
    <t>Heavy, two-handed</t>
  </si>
  <si>
    <t>Shield</t>
  </si>
  <si>
    <t>Intelligence Increasing Items</t>
  </si>
  <si>
    <t>Greatsword</t>
  </si>
  <si>
    <t>2d6 slashing</t>
  </si>
  <si>
    <t>Halberd</t>
  </si>
  <si>
    <t>Lance</t>
  </si>
  <si>
    <t>1d12 piercing</t>
  </si>
  <si>
    <t>Reach, special</t>
  </si>
  <si>
    <t>Longsword</t>
  </si>
  <si>
    <t>15 gp</t>
  </si>
  <si>
    <t>Don/Doff Time</t>
  </si>
  <si>
    <t>Unarmed Strike Increasing Items</t>
  </si>
  <si>
    <t>Maul</t>
  </si>
  <si>
    <t>2d6 bludgeoning</t>
  </si>
  <si>
    <t>Category</t>
  </si>
  <si>
    <t>Don</t>
  </si>
  <si>
    <t>Doff</t>
  </si>
  <si>
    <t>Morningstar</t>
  </si>
  <si>
    <t>1 minute</t>
  </si>
  <si>
    <t>Pike</t>
  </si>
  <si>
    <t>1d10 piercing</t>
  </si>
  <si>
    <t>18 lb.</t>
  </si>
  <si>
    <t>5 minutes</t>
  </si>
  <si>
    <t>Rapier</t>
  </si>
  <si>
    <t>Finesse</t>
  </si>
  <si>
    <t>10 minutes</t>
  </si>
  <si>
    <t>Wraps of Unarmed Prowess</t>
  </si>
  <si>
    <t>Scimitar</t>
  </si>
  <si>
    <t>Finesse, light</t>
  </si>
  <si>
    <t>1 action</t>
  </si>
  <si>
    <t>Shortsword</t>
  </si>
  <si>
    <t>Trident</t>
  </si>
  <si>
    <t>War pick</t>
  </si>
  <si>
    <t>Warhammer</t>
  </si>
  <si>
    <t>Whip</t>
  </si>
  <si>
    <t>Finesse, reach</t>
  </si>
  <si>
    <t>Martial Ranged Weapons</t>
  </si>
  <si>
    <t>Blowgun</t>
  </si>
  <si>
    <t>1 piercing</t>
  </si>
  <si>
    <t>Ammunition, range (25/100), loading</t>
  </si>
  <si>
    <t>Hand crossbow</t>
  </si>
  <si>
    <t>Ammunition, range (30/120), light, loading</t>
  </si>
  <si>
    <t>Heavy crossbow</t>
  </si>
  <si>
    <t>Ammunition, range (100/400), heavy, loading, two-handed</t>
  </si>
  <si>
    <t>Longbow</t>
  </si>
  <si>
    <t>Ammunition, range (150/600), heavy, two-Handed</t>
  </si>
  <si>
    <t>Mithral Armor (Scalemail)</t>
  </si>
  <si>
    <t>Scroll of Magic Missile</t>
  </si>
  <si>
    <t>Walloping Ammo (Sling Bullet)</t>
  </si>
  <si>
    <t>Wraps of Unarmed Power</t>
  </si>
  <si>
    <t>Warhammer +1 (Dwarf Kiss)</t>
  </si>
  <si>
    <t>Scroll of Cure Wounds (3rd level)</t>
  </si>
  <si>
    <t>Glamored Studded Leather</t>
  </si>
  <si>
    <t>Scroll of Detect Evil and Good</t>
  </si>
  <si>
    <t>Halfplate +1 (Strange Material Leather and Bone)</t>
  </si>
  <si>
    <t>Orb of Direction (Sentinel: Undead)</t>
  </si>
  <si>
    <t>Scroll of Wrath of Nature</t>
  </si>
  <si>
    <t>PS-DC-GLITCH-01 Roots, Bloody Roots</t>
  </si>
  <si>
    <t>Horn of Valhalla (Iron, War Leader)</t>
  </si>
  <si>
    <t>Berserker Greataxe</t>
  </si>
  <si>
    <t>Fabulist Gem</t>
  </si>
  <si>
    <t>Scroll of Conjure Celestial</t>
  </si>
  <si>
    <t>Armor of Vulnerability (slashing)</t>
  </si>
  <si>
    <t>Necklace of Prayer Beads (3x Bless, Curing, Favor, Smiting)</t>
  </si>
  <si>
    <t>MOON</t>
  </si>
  <si>
    <t>Necklace of Prayer Beads (Bless, 2x Curing, Favor, 2x Smiting)</t>
  </si>
  <si>
    <t>Vicious Weapon (Greataxe)</t>
  </si>
  <si>
    <t>Studded Leather +3</t>
  </si>
  <si>
    <t>Scroll of Dawn</t>
  </si>
  <si>
    <t>PS-DC-STRAT-UNDEAD-03 Winner Winner Chicken Dinner</t>
  </si>
  <si>
    <t>Breastplate +3 (Strange Material: Dragon Scales, Champion's Badge)</t>
  </si>
  <si>
    <t>Clothes of Mending (Bob's Competition Shirt)</t>
  </si>
  <si>
    <t>Mastery</t>
  </si>
  <si>
    <t>Slow</t>
  </si>
  <si>
    <t>Nick</t>
  </si>
  <si>
    <t>Push</t>
  </si>
  <si>
    <t>Vex</t>
  </si>
  <si>
    <t>Sap</t>
  </si>
  <si>
    <t>Topple</t>
  </si>
  <si>
    <t>Graze</t>
  </si>
  <si>
    <t>Cleave</t>
  </si>
  <si>
    <t>Wraps of Unarmed Power +2</t>
  </si>
  <si>
    <t>Scalemail +1</t>
  </si>
  <si>
    <t>Scroll of Summon Dragon</t>
  </si>
  <si>
    <t>Potion of Resistance (Acid)</t>
  </si>
  <si>
    <t>Wraps of Unarmed Prowess +3</t>
  </si>
  <si>
    <t>Sword of the Planes</t>
  </si>
  <si>
    <t>Lance +2</t>
  </si>
  <si>
    <t>Lance +3 (Imaskari, Temperate)</t>
  </si>
  <si>
    <t>Frost Brand (Rapier)</t>
  </si>
  <si>
    <t>Vicious Weapon (Shortbow)</t>
  </si>
  <si>
    <t>Rod of Hellish Flames (Temperate)</t>
  </si>
  <si>
    <t>Dagger +2</t>
  </si>
  <si>
    <t>Sroll of Delayed Blast Fireball</t>
  </si>
  <si>
    <t>Scroll of Finger of Death</t>
  </si>
  <si>
    <t>Nolzur's Marvelous Pigments (4)</t>
  </si>
  <si>
    <t>Bolts +1 (11)</t>
  </si>
  <si>
    <t>Necklace of Fireballs (5)</t>
  </si>
  <si>
    <t>PS-DC-Playtest-02</t>
  </si>
  <si>
    <t>Spellwrought Tattoo of Greater Restoration</t>
  </si>
  <si>
    <t>Spellwrought Tattoo of Mass Cure Wounds</t>
  </si>
  <si>
    <t>Studded Leather +3 (Guardian)</t>
  </si>
  <si>
    <t>Orb of Time (Compass)</t>
  </si>
  <si>
    <t>Ring of Protection (Netherese, Keep Hold of Flavor)</t>
  </si>
  <si>
    <t>Scroll of Protection from Plants</t>
  </si>
  <si>
    <t>FR-DC-FALL-01 Cathedral of Ice</t>
  </si>
  <si>
    <t>Bolt of Holding</t>
  </si>
  <si>
    <t>Bolt of Blinding</t>
  </si>
  <si>
    <t>Bolt of Vapors</t>
  </si>
  <si>
    <t>Bow of Melodies (Bow of Icy Lamentations, Temperate)</t>
  </si>
  <si>
    <t>Ring of Resistance (Force)</t>
  </si>
  <si>
    <t>Halfplate +3</t>
  </si>
  <si>
    <t>Dread Helm (War Leader)</t>
  </si>
  <si>
    <t>Ring of Spell Turning (Strange Material: Blob of Annihilation)</t>
  </si>
  <si>
    <t>Enduring Spellbook (Language Thieves' Cant)</t>
  </si>
  <si>
    <t>PS-DC-DEATH-02 Crypt of the Space Giants</t>
  </si>
  <si>
    <t>Talons</t>
  </si>
  <si>
    <t>Sage's Signet</t>
  </si>
  <si>
    <t>Necklace of Prayer Beads (2x Bless, 3x Favor, Smiting)</t>
  </si>
  <si>
    <t>Frost Brand (Greatsword, Language Deep Speech)</t>
  </si>
  <si>
    <t>Scroll of Zone of Truth</t>
  </si>
  <si>
    <t>Scroll of Trueseeing</t>
  </si>
  <si>
    <t>Scroll of Darkness</t>
  </si>
  <si>
    <t>Scroll of Cure Wounds (4th Level)</t>
  </si>
  <si>
    <t>Arrows +1 (20)</t>
  </si>
  <si>
    <t>Scroll of Protection (Lycanthropes)</t>
  </si>
  <si>
    <t>Scroll of Crown of Stars</t>
  </si>
  <si>
    <t>Scroll of Draconic Transformation</t>
  </si>
  <si>
    <t>Scroll of Mirage Arcane</t>
  </si>
  <si>
    <t>Scroll of Holy Aura</t>
  </si>
  <si>
    <t>Scroll of Power Word Fortify</t>
  </si>
  <si>
    <t>Spellguard Shield (Harmonius)</t>
  </si>
  <si>
    <t>Dread Helm (Illusion Harengon Head)</t>
  </si>
  <si>
    <t>Donjon</t>
  </si>
  <si>
    <t>FR-DC-TT-301 - Seelie, Rabbit, Tricks are for Fools</t>
  </si>
  <si>
    <t>Elven Thrower (Sentinel Aberrations)</t>
  </si>
  <si>
    <t>Shield of the Cavalier</t>
  </si>
  <si>
    <t>Legacy Holy Avenger Battleaxe</t>
  </si>
  <si>
    <t>Trident +2</t>
  </si>
  <si>
    <t>Trident +3</t>
  </si>
  <si>
    <t>Weapon of Warning (Trident)</t>
  </si>
  <si>
    <t>Scroll of Commune</t>
  </si>
  <si>
    <t xml:space="preserve">Vorpal Scimitar </t>
  </si>
  <si>
    <t>Belt of Stone Giant Strength (War Leader)</t>
  </si>
  <si>
    <t>Figurine of Wonderous Power (Golden Lions)</t>
  </si>
  <si>
    <t>Instrument of Scribing (Flute)</t>
  </si>
  <si>
    <t>Blast Scepter (War Leader)</t>
  </si>
  <si>
    <t>Wand of Conducting (Temperate)</t>
  </si>
  <si>
    <t>Scroll of Yolande's Regal Presence</t>
  </si>
  <si>
    <t>FR-DC-MLO-3</t>
  </si>
  <si>
    <t>Necklace of Fireballs (9 Beads)</t>
  </si>
  <si>
    <t>Necklace of Prayer Beads (Bless, Curing, Favor, Wind Walking)</t>
  </si>
  <si>
    <t>Cube of Summoning</t>
  </si>
  <si>
    <t>Butcher's Bib</t>
  </si>
  <si>
    <t>Mirage</t>
  </si>
  <si>
    <t>DDHC-CM-16 Alkazaar's Appendix</t>
  </si>
  <si>
    <t>Crossbow Bolts +2 (6)</t>
  </si>
  <si>
    <t>Dwarven Plate (Halfplate)</t>
  </si>
  <si>
    <t>Plate +3 (Marut flavor)</t>
  </si>
  <si>
    <t>Plate +3 (Songcraft)</t>
  </si>
  <si>
    <t>Spear of Backbiting (Javelin)</t>
  </si>
  <si>
    <t>Clothes of Mending (Gleaming, Day-Man)</t>
  </si>
  <si>
    <t>PS-DC-NOS-03 It's Always Boring in Automata</t>
  </si>
  <si>
    <t>Scroll of Wind Wall</t>
  </si>
  <si>
    <t>Shield +3 (Miltiades)</t>
  </si>
  <si>
    <t>Necklace of Prayer Beads (2x Bless, 2x Curing, Favor, Smiting)</t>
  </si>
  <si>
    <t>Potion of Greater Invisiblity</t>
  </si>
  <si>
    <t>Scroll of Hold Monster</t>
  </si>
  <si>
    <t>Scroll of Circle of Power</t>
  </si>
  <si>
    <t>Scroll of Locate Creature</t>
  </si>
  <si>
    <t>Defender (Warhammer)</t>
  </si>
  <si>
    <t>Berserker Axe (Halberd)</t>
  </si>
  <si>
    <t>Sword of Vengeance (Glaive)</t>
  </si>
  <si>
    <t>Plate Armor +3 (Guardian)</t>
  </si>
  <si>
    <t>Potion of Superior Healing (Candy)</t>
  </si>
  <si>
    <t>Scroll of Enhance Ability (Int Only, Candy)</t>
  </si>
  <si>
    <t>Scroll of Enhance Ability (Con Only, Candy)</t>
  </si>
  <si>
    <t>Scroll of Enhance Ability (Cha Only, Candy)</t>
  </si>
  <si>
    <t>Scroll of Maze</t>
  </si>
  <si>
    <t>Sroll of Planeshift</t>
  </si>
  <si>
    <t>Carpet of Flying (3x5, Mutable)</t>
  </si>
  <si>
    <t>Dragon Scale Mail (Copper)</t>
  </si>
  <si>
    <t>Ring of Resistance (Acid)</t>
  </si>
  <si>
    <t>Halberd +2</t>
  </si>
  <si>
    <t>Vicious</t>
  </si>
  <si>
    <t>Rings of Resistance</t>
  </si>
  <si>
    <t>Element</t>
  </si>
  <si>
    <t>Quantity</t>
  </si>
  <si>
    <t>Acid</t>
  </si>
  <si>
    <t>Cold</t>
  </si>
  <si>
    <t>Fire</t>
  </si>
  <si>
    <t>Force</t>
  </si>
  <si>
    <t>Lightning</t>
  </si>
  <si>
    <t>Necrotic</t>
  </si>
  <si>
    <t>Poison</t>
  </si>
  <si>
    <t>Psychic</t>
  </si>
  <si>
    <t>Radiant</t>
  </si>
  <si>
    <t>Thunder</t>
  </si>
  <si>
    <t>Vicious Weapon (Halberd)</t>
  </si>
  <si>
    <t>Executioner’s Axe (Greataxe)</t>
  </si>
  <si>
    <t>Hand Crossbow +2</t>
  </si>
  <si>
    <t>Adamantine Armor (Halfplate)</t>
  </si>
  <si>
    <t>Flame Tongue (Longsword)</t>
  </si>
  <si>
    <t>Scroll of Detect Thoughts</t>
  </si>
  <si>
    <t>Baba Yaga's Dancing Broom</t>
  </si>
  <si>
    <t>Vicious Weapon (Hand Crossbow)</t>
  </si>
  <si>
    <t>Javelin +2</t>
  </si>
  <si>
    <t>Ruin</t>
  </si>
  <si>
    <t>FR-DC-RDP-01</t>
  </si>
  <si>
    <t>FR-DC-RDP-02</t>
  </si>
  <si>
    <t>Scroll of Protection (Humanoids)</t>
  </si>
  <si>
    <t>Spellwrought Tattoo (Darkness)</t>
  </si>
  <si>
    <t>Tentacle Rod (Harmonious)</t>
  </si>
  <si>
    <t>Wand of Polymorph (Harmonious)</t>
  </si>
  <si>
    <t>PS-DC-IGC-9PIN The Sigil Strike Showdown</t>
  </si>
  <si>
    <t>Clothes of Mending (Gleaming)</t>
  </si>
  <si>
    <t>DDAL09-20 Where Devils Fear to Tread</t>
  </si>
  <si>
    <t>PS-DC-MECH-01 Melting Mechanus</t>
  </si>
  <si>
    <t>Spellwrought Tattoo (Skill Empowerment)</t>
  </si>
  <si>
    <t>Halfplate +3 (Unusual Material: Marble)</t>
  </si>
  <si>
    <t>Clockwork Amulet (Language: Modron)</t>
  </si>
  <si>
    <t>Greyhawk</t>
  </si>
  <si>
    <t>Quent Davros</t>
  </si>
  <si>
    <t>Derris Rickson</t>
  </si>
  <si>
    <t>Ferris</t>
  </si>
  <si>
    <t>Dragon</t>
  </si>
  <si>
    <t>Beads of Nourishment (6)</t>
  </si>
  <si>
    <t>Beads of Refreshment (6)</t>
  </si>
  <si>
    <t>Keoghtom's Ointment (5)</t>
  </si>
  <si>
    <t>Silvered Weapon (Spear)</t>
  </si>
  <si>
    <t>Moon-Touched Weapon (Rapier)</t>
  </si>
  <si>
    <t>Staff of Power (Language: Draconic)</t>
  </si>
  <si>
    <t>Shortsword +3</t>
  </si>
  <si>
    <t>Necklace of Prayer Beads (4x Bless, Curing, Favor)</t>
  </si>
  <si>
    <t>Executioner’s Axe (Halberd)</t>
  </si>
  <si>
    <t>FR-DC-RDP-04</t>
  </si>
  <si>
    <t>Fates</t>
  </si>
  <si>
    <t>FR-DC-RDP-03</t>
  </si>
  <si>
    <t>Spellwrought Tattoo of Skill Empowerment</t>
  </si>
  <si>
    <t>Scroll of Blade Barrier</t>
  </si>
  <si>
    <t>Thyra Shadowmane</t>
  </si>
  <si>
    <t>Diviner</t>
  </si>
  <si>
    <t>Cadence Melodrix</t>
  </si>
  <si>
    <t>Necklace of Fireballs (4 Beads)</t>
  </si>
  <si>
    <t>Spellwrought Tattoo of Dispel Evil and Good</t>
  </si>
  <si>
    <t>Moonblade (Scimitar, +2, 1d6 Force, Thrown)</t>
  </si>
  <si>
    <t>FR-DC-DQ My Bones Still Whisper</t>
  </si>
  <si>
    <t>Moonblade (Greatsword, +3, 3d6 force, crit on 19, Guardian)</t>
  </si>
  <si>
    <t>FR-DC-DIVA Divaine and the Dandelions: One Night Only!</t>
  </si>
  <si>
    <t>Sun</t>
  </si>
  <si>
    <t>Spellwrought Tattoo of Yolande's Regal Presence</t>
  </si>
  <si>
    <t>Rhythm-Maker's Drum +3 (Guardian)</t>
  </si>
  <si>
    <t>Silvered Weapon (Mace, War Leader)</t>
  </si>
  <si>
    <t>Scroll of Arcane Gate</t>
  </si>
  <si>
    <t>Glamour</t>
  </si>
  <si>
    <t>Spellwrought Tattoo of Phantom Steed</t>
  </si>
  <si>
    <t>PS-DC-ELEMENT-DEATH-04 Skulls and Skies</t>
  </si>
  <si>
    <t>Armor of Invulnerability (Strange Material: Ribcage)</t>
  </si>
  <si>
    <t>Vicious Weapon (Trident, Beacon)</t>
  </si>
  <si>
    <t>Cast-Off Armor (Breastplate, Strange Material: Cast Iron)</t>
  </si>
  <si>
    <t>Mace of Disruption (Beacon)</t>
  </si>
  <si>
    <t>Sylvan Talon (Dagger)</t>
  </si>
  <si>
    <t>Moonblade (Strange Material: Spine)</t>
  </si>
  <si>
    <t>Vicious Weapon (Scimitar, Songcraft)</t>
  </si>
  <si>
    <t>Cloak of Many Fashions (Guardian)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</si>
</sst>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FF0000"/>
      <name val="Calibri"/>
      <family val="2"/>
      <scheme val="minor"/>
    </font>
    <font>
      <sz val="11"/>
      <color rgb="FF7030A0"/>
      <name val="Calibri"/>
      <family val="2"/>
      <scheme val="minor"/>
    </font>
    <font>
      <b/>
      <sz val="11"/>
      <color rgb="FF0070C0"/>
      <name val="Calibri"/>
      <family val="2"/>
      <scheme val="minor"/>
    </font>
    <font>
      <sz val="11"/>
      <color rgb="FF0070C0"/>
      <name val="Calibri"/>
      <family val="2"/>
      <scheme val="minor"/>
    </font>
    <font>
      <b/>
      <sz val="11"/>
      <color rgb="FF00B050"/>
      <name val="Calibri"/>
      <family val="2"/>
      <scheme val="minor"/>
    </font>
    <font>
      <b/>
      <sz val="11"/>
      <color rgb="FFFF0000"/>
      <name val="Calibri"/>
      <family val="2"/>
      <scheme val="minor"/>
    </font>
    <font>
      <sz val="11"/>
      <color rgb="FFFFC000"/>
      <name val="Calibri"/>
      <family val="2"/>
      <scheme val="minor"/>
    </font>
    <font>
      <sz val="11"/>
      <color rgb="FF00B050"/>
      <name val="Calibri"/>
      <family val="2"/>
      <scheme val="minor"/>
    </font>
    <font>
      <i/>
      <sz val="11"/>
      <color rgb="FFFF0000"/>
      <name val="Calibri"/>
      <family val="2"/>
      <scheme val="minor"/>
    </font>
    <font>
      <i/>
      <sz val="11"/>
      <color rgb="FF0070C0"/>
      <name val="Calibri"/>
      <family val="2"/>
      <scheme val="minor"/>
    </font>
    <font>
      <strike/>
      <sz val="11"/>
      <color rgb="FF0070C0"/>
      <name val="Calibri"/>
      <family val="2"/>
      <scheme val="minor"/>
    </font>
    <font>
      <strike/>
      <sz val="11"/>
      <color rgb="FF00B050"/>
      <name val="Calibri"/>
      <family val="2"/>
      <scheme val="minor"/>
    </font>
    <font>
      <strike/>
      <sz val="11"/>
      <color rgb="FFFF0000"/>
      <name val="Calibri"/>
      <family val="2"/>
      <scheme val="minor"/>
    </font>
    <font>
      <strike/>
      <sz val="11"/>
      <color rgb="FF7030A0"/>
      <name val="Calibri"/>
      <family val="2"/>
      <scheme val="minor"/>
    </font>
    <font>
      <b/>
      <strike/>
      <sz val="11"/>
      <color rgb="FF00B050"/>
      <name val="Calibri"/>
      <family val="2"/>
      <scheme val="minor"/>
    </font>
    <font>
      <b/>
      <strike/>
      <sz val="11"/>
      <color rgb="FFFF0000"/>
      <name val="Calibri"/>
      <family val="2"/>
      <scheme val="minor"/>
    </font>
    <font>
      <u/>
      <sz val="11"/>
      <color rgb="FFFF0000"/>
      <name val="Calibri"/>
      <family val="2"/>
      <scheme val="minor"/>
    </font>
    <font>
      <u/>
      <sz val="11"/>
      <color rgb="FF0070C0"/>
      <name val="Calibri"/>
      <family val="2"/>
      <scheme val="minor"/>
    </font>
    <font>
      <u/>
      <sz val="11"/>
      <color rgb="FF7030A0"/>
      <name val="Calibri"/>
      <family val="2"/>
      <scheme val="minor"/>
    </font>
    <font>
      <u/>
      <sz val="11"/>
      <color rgb="FF00B050"/>
      <name val="Calibri"/>
      <family val="2"/>
      <scheme val="minor"/>
    </font>
    <font>
      <i/>
      <u/>
      <sz val="11"/>
      <color rgb="FF00B050"/>
      <name val="Calibri"/>
      <family val="2"/>
      <scheme val="minor"/>
    </font>
    <font>
      <i/>
      <sz val="11"/>
      <color theme="1"/>
      <name val="Calibri"/>
      <family val="2"/>
      <scheme val="minor"/>
    </font>
    <font>
      <sz val="8"/>
      <name val="Calibri"/>
      <family val="2"/>
      <scheme val="minor"/>
    </font>
    <font>
      <i/>
      <strike/>
      <sz val="11"/>
      <color rgb="FFFF0000"/>
      <name val="Calibri"/>
      <family val="2"/>
      <scheme val="minor"/>
    </font>
    <font>
      <strike/>
      <sz val="11"/>
      <color theme="1"/>
      <name val="Calibri"/>
      <family val="2"/>
      <scheme val="minor"/>
    </font>
    <font>
      <i/>
      <sz val="11"/>
      <color rgb="FF00B050"/>
      <name val="Calibri"/>
      <family val="2"/>
      <scheme val="minor"/>
    </font>
    <font>
      <i/>
      <sz val="11"/>
      <color rgb="FF7030A0"/>
      <name val="Calibri"/>
      <family val="2"/>
      <scheme val="minor"/>
    </font>
    <font>
      <sz val="11"/>
      <color theme="1"/>
      <name val="Calibri"/>
      <family val="2"/>
      <scheme val="minor"/>
    </font>
    <font>
      <sz val="10"/>
      <color theme="1"/>
      <name val="Arial"/>
      <family val="2"/>
    </font>
    <font>
      <sz val="10"/>
      <color rgb="FFFF0000"/>
      <name val="Arial"/>
      <family val="2"/>
    </font>
    <font>
      <sz val="10"/>
      <color rgb="FFFFFFFF"/>
      <name val="Arial"/>
      <family val="2"/>
    </font>
    <font>
      <i/>
      <sz val="10"/>
      <color theme="1"/>
      <name val="Arial"/>
      <family val="2"/>
    </font>
    <font>
      <strike/>
      <sz val="10"/>
      <color rgb="FFFF0000"/>
      <name val="Arial"/>
      <family val="2"/>
    </font>
    <font>
      <b/>
      <sz val="9"/>
      <color indexed="81"/>
      <name val="Tahoma"/>
      <family val="2"/>
    </font>
    <font>
      <sz val="9"/>
      <color indexed="81"/>
      <name val="Tahoma"/>
      <family val="2"/>
    </font>
  </fonts>
  <fills count="23">
    <fill>
      <patternFill patternType="none"/>
    </fill>
    <fill>
      <patternFill patternType="gray125"/>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4CCCC"/>
        <bgColor indexed="64"/>
      </patternFill>
    </fill>
    <fill>
      <patternFill patternType="solid">
        <fgColor rgb="FFEAD1DC"/>
        <bgColor indexed="64"/>
      </patternFill>
    </fill>
    <fill>
      <patternFill patternType="solid">
        <fgColor rgb="FFF3F3F3"/>
        <bgColor indexed="64"/>
      </patternFill>
    </fill>
    <fill>
      <patternFill patternType="solid">
        <fgColor rgb="FFFCE5CD"/>
        <bgColor indexed="64"/>
      </patternFill>
    </fill>
    <fill>
      <patternFill patternType="solid">
        <fgColor rgb="FFFFF2CC"/>
        <bgColor indexed="64"/>
      </patternFill>
    </fill>
    <fill>
      <patternFill patternType="solid">
        <fgColor rgb="FFD9EAD3"/>
        <bgColor indexed="64"/>
      </patternFill>
    </fill>
    <fill>
      <patternFill patternType="solid">
        <fgColor rgb="FFD0E0E3"/>
        <bgColor indexed="64"/>
      </patternFill>
    </fill>
    <fill>
      <patternFill patternType="solid">
        <fgColor rgb="FFC9DAF8"/>
        <bgColor indexed="64"/>
      </patternFill>
    </fill>
    <fill>
      <patternFill patternType="solid">
        <fgColor rgb="FFD9D2E9"/>
        <bgColor indexed="64"/>
      </patternFill>
    </fill>
    <fill>
      <patternFill patternType="solid">
        <fgColor rgb="FF666666"/>
        <bgColor indexed="64"/>
      </patternFill>
    </fill>
    <fill>
      <patternFill patternType="solid">
        <fgColor rgb="FF000000"/>
        <bgColor indexed="64"/>
      </patternFill>
    </fill>
    <fill>
      <patternFill patternType="solid">
        <fgColor rgb="FFBDBDBD"/>
        <bgColor indexed="64"/>
      </patternFill>
    </fill>
    <fill>
      <patternFill patternType="solid">
        <fgColor rgb="FFB7B7B7"/>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2" tint="-9.9978637043366805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thin">
        <color indexed="64"/>
      </right>
      <top/>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3">
    <xf numFmtId="0" fontId="0" fillId="0" borderId="0"/>
    <xf numFmtId="9" fontId="31" fillId="0" borderId="0" applyFont="0" applyFill="0" applyBorder="0" applyAlignment="0" applyProtection="0"/>
    <xf numFmtId="9" fontId="31" fillId="0" borderId="0" applyFont="0" applyFill="0" applyBorder="0" applyAlignment="0" applyProtection="0"/>
  </cellStyleXfs>
  <cellXfs count="173">
    <xf numFmtId="0" fontId="0" fillId="0" borderId="0" xfId="0"/>
    <xf numFmtId="0" fontId="1" fillId="0" borderId="0" xfId="0" applyFont="1"/>
    <xf numFmtId="0" fontId="4" fillId="0" borderId="0" xfId="0" applyFont="1"/>
    <xf numFmtId="0" fontId="2" fillId="0" borderId="0" xfId="0" applyFont="1"/>
    <xf numFmtId="0" fontId="0" fillId="0" borderId="0" xfId="0" quotePrefix="1"/>
    <xf numFmtId="0" fontId="3" fillId="0" borderId="0" xfId="0" applyFont="1"/>
    <xf numFmtId="0" fontId="5" fillId="3" borderId="0" xfId="0" applyFont="1" applyFill="1"/>
    <xf numFmtId="0" fontId="6" fillId="3" borderId="0" xfId="0" applyFont="1" applyFill="1"/>
    <xf numFmtId="0" fontId="7" fillId="4" borderId="0" xfId="0" applyFont="1" applyFill="1"/>
    <xf numFmtId="0" fontId="7" fillId="3" borderId="0" xfId="0" applyFont="1" applyFill="1"/>
    <xf numFmtId="0" fontId="8" fillId="2" borderId="0" xfId="0" applyFont="1" applyFill="1"/>
    <xf numFmtId="0" fontId="6" fillId="2" borderId="0" xfId="0" applyFont="1" applyFill="1"/>
    <xf numFmtId="0" fontId="9" fillId="2" borderId="0" xfId="0" applyFont="1" applyFill="1"/>
    <xf numFmtId="0" fontId="7" fillId="0" borderId="0" xfId="0" applyFont="1"/>
    <xf numFmtId="0" fontId="10" fillId="0" borderId="0" xfId="0" applyFont="1"/>
    <xf numFmtId="0" fontId="7" fillId="2" borderId="0" xfId="0" applyFont="1" applyFill="1"/>
    <xf numFmtId="0" fontId="8" fillId="3" borderId="0" xfId="0" applyFont="1" applyFill="1"/>
    <xf numFmtId="0" fontId="11" fillId="0" borderId="0" xfId="0" applyFont="1"/>
    <xf numFmtId="0" fontId="5" fillId="0" borderId="0" xfId="0" applyFont="1"/>
    <xf numFmtId="0" fontId="11" fillId="2" borderId="0" xfId="0" applyFont="1" applyFill="1"/>
    <xf numFmtId="0" fontId="5" fillId="4" borderId="0" xfId="0" applyFont="1" applyFill="1"/>
    <xf numFmtId="0" fontId="11" fillId="4" borderId="0" xfId="0" applyFont="1" applyFill="1"/>
    <xf numFmtId="0" fontId="11" fillId="3" borderId="0" xfId="0" applyFont="1" applyFill="1"/>
    <xf numFmtId="0" fontId="4" fillId="3" borderId="0" xfId="0" applyFont="1" applyFill="1"/>
    <xf numFmtId="0" fontId="4" fillId="4" borderId="0" xfId="0" applyFont="1" applyFill="1"/>
    <xf numFmtId="0" fontId="9" fillId="3" borderId="0" xfId="0" applyFont="1" applyFill="1"/>
    <xf numFmtId="0" fontId="6" fillId="0" borderId="0" xfId="0" applyFont="1"/>
    <xf numFmtId="0" fontId="8" fillId="4" borderId="0" xfId="0" applyFont="1" applyFill="1"/>
    <xf numFmtId="0" fontId="5" fillId="2" borderId="0" xfId="0" applyFont="1" applyFill="1"/>
    <xf numFmtId="0" fontId="4" fillId="2" borderId="0" xfId="0" applyFont="1" applyFill="1"/>
    <xf numFmtId="0" fontId="11" fillId="4" borderId="0" xfId="0" quotePrefix="1" applyFont="1" applyFill="1"/>
    <xf numFmtId="0" fontId="7" fillId="3" borderId="0" xfId="0" quotePrefix="1" applyFont="1" applyFill="1"/>
    <xf numFmtId="0" fontId="11" fillId="0" borderId="0" xfId="0" quotePrefix="1" applyFont="1"/>
    <xf numFmtId="0" fontId="4" fillId="0" borderId="0" xfId="0" quotePrefix="1" applyFont="1"/>
    <xf numFmtId="0" fontId="7" fillId="0" borderId="0" xfId="0" quotePrefix="1" applyFont="1"/>
    <xf numFmtId="0" fontId="13" fillId="0" borderId="0" xfId="0" applyFont="1"/>
    <xf numFmtId="0" fontId="12" fillId="5" borderId="0" xfId="0" applyFont="1" applyFill="1"/>
    <xf numFmtId="0" fontId="4" fillId="5" borderId="0" xfId="0" applyFont="1" applyFill="1"/>
    <xf numFmtId="0" fontId="7" fillId="5" borderId="0" xfId="0" applyFont="1" applyFill="1"/>
    <xf numFmtId="0" fontId="11" fillId="5" borderId="0" xfId="0" applyFont="1" applyFill="1"/>
    <xf numFmtId="0" fontId="13" fillId="5" borderId="0" xfId="0" quotePrefix="1" applyFont="1" applyFill="1"/>
    <xf numFmtId="0" fontId="5" fillId="5" borderId="0" xfId="0" applyFont="1" applyFill="1"/>
    <xf numFmtId="0" fontId="14" fillId="3" borderId="0" xfId="0" applyFont="1" applyFill="1"/>
    <xf numFmtId="0" fontId="15" fillId="4" borderId="0" xfId="0" applyFont="1" applyFill="1"/>
    <xf numFmtId="0" fontId="16" fillId="4" borderId="0" xfId="0" applyFont="1" applyFill="1"/>
    <xf numFmtId="0" fontId="14" fillId="4" borderId="0" xfId="0" applyFont="1" applyFill="1"/>
    <xf numFmtId="0" fontId="17" fillId="4" borderId="0" xfId="0" applyFont="1" applyFill="1"/>
    <xf numFmtId="0" fontId="18" fillId="4" borderId="0" xfId="0" applyFont="1" applyFill="1"/>
    <xf numFmtId="0" fontId="16" fillId="2" borderId="0" xfId="0" applyFont="1" applyFill="1"/>
    <xf numFmtId="0" fontId="15" fillId="0" borderId="0" xfId="0" applyFont="1"/>
    <xf numFmtId="0" fontId="15" fillId="2" borderId="0" xfId="0" applyFont="1" applyFill="1"/>
    <xf numFmtId="0" fontId="0" fillId="5" borderId="0" xfId="0" applyFill="1"/>
    <xf numFmtId="0" fontId="21" fillId="0" borderId="0" xfId="0" applyFont="1"/>
    <xf numFmtId="0" fontId="22" fillId="0" borderId="0" xfId="0" applyFont="1"/>
    <xf numFmtId="0" fontId="23" fillId="0" borderId="0" xfId="0" applyFont="1"/>
    <xf numFmtId="0" fontId="20" fillId="0" borderId="0" xfId="0" applyFont="1"/>
    <xf numFmtId="0" fontId="24" fillId="0" borderId="0" xfId="0" applyFont="1"/>
    <xf numFmtId="0" fontId="16" fillId="0" borderId="0" xfId="0" applyFont="1"/>
    <xf numFmtId="0" fontId="25" fillId="5" borderId="0" xfId="0" applyFont="1" applyFill="1"/>
    <xf numFmtId="0" fontId="0" fillId="4" borderId="0" xfId="0" applyFill="1"/>
    <xf numFmtId="0" fontId="19" fillId="2" borderId="0" xfId="0" applyFont="1" applyFill="1"/>
    <xf numFmtId="0" fontId="21" fillId="5" borderId="0" xfId="0" applyFont="1" applyFill="1"/>
    <xf numFmtId="0" fontId="11" fillId="2" borderId="0" xfId="0" quotePrefix="1" applyFont="1" applyFill="1"/>
    <xf numFmtId="0" fontId="16" fillId="3" borderId="0" xfId="0" quotePrefix="1" applyFont="1" applyFill="1"/>
    <xf numFmtId="0" fontId="15" fillId="2" borderId="0" xfId="0" quotePrefix="1" applyFont="1" applyFill="1"/>
    <xf numFmtId="0" fontId="11" fillId="3" borderId="0" xfId="0" quotePrefix="1" applyFont="1" applyFill="1"/>
    <xf numFmtId="0" fontId="18" fillId="0" borderId="0" xfId="0" applyFont="1"/>
    <xf numFmtId="0" fontId="0" fillId="0" borderId="0" xfId="0" applyAlignment="1">
      <alignment horizontal="center"/>
    </xf>
    <xf numFmtId="0" fontId="27" fillId="3" borderId="0" xfId="0" applyFont="1" applyFill="1"/>
    <xf numFmtId="0" fontId="7" fillId="2" borderId="0" xfId="0" quotePrefix="1" applyFont="1" applyFill="1"/>
    <xf numFmtId="0" fontId="1" fillId="0" borderId="0" xfId="0" applyFont="1" applyAlignment="1">
      <alignment horizontal="left"/>
    </xf>
    <xf numFmtId="0" fontId="28" fillId="0" borderId="0" xfId="0" applyFont="1"/>
    <xf numFmtId="0" fontId="12" fillId="2" borderId="0" xfId="0" applyFont="1" applyFill="1"/>
    <xf numFmtId="0" fontId="0" fillId="0" borderId="0" xfId="0" applyAlignment="1">
      <alignment horizontal="left"/>
    </xf>
    <xf numFmtId="0" fontId="29" fillId="2" borderId="0" xfId="0" applyFont="1" applyFill="1"/>
    <xf numFmtId="0" fontId="11" fillId="3" borderId="1" xfId="0" quotePrefix="1" applyFont="1" applyFill="1" applyBorder="1"/>
    <xf numFmtId="0" fontId="7" fillId="3" borderId="1" xfId="0" applyFont="1" applyFill="1" applyBorder="1"/>
    <xf numFmtId="0" fontId="4" fillId="4" borderId="1" xfId="0" applyFont="1" applyFill="1" applyBorder="1"/>
    <xf numFmtId="0" fontId="4" fillId="3" borderId="1" xfId="0" applyFont="1" applyFill="1" applyBorder="1"/>
    <xf numFmtId="0" fontId="7" fillId="4" borderId="0" xfId="0" quotePrefix="1" applyFont="1" applyFill="1"/>
    <xf numFmtId="0" fontId="1" fillId="0" borderId="0" xfId="0" applyFont="1" applyAlignment="1">
      <alignment horizontal="center"/>
    </xf>
    <xf numFmtId="0" fontId="11" fillId="3" borderId="1" xfId="0" applyFont="1" applyFill="1" applyBorder="1"/>
    <xf numFmtId="0" fontId="11" fillId="2" borderId="1" xfId="0" applyFont="1" applyFill="1" applyBorder="1"/>
    <xf numFmtId="0" fontId="7" fillId="2" borderId="1" xfId="0" quotePrefix="1" applyFont="1" applyFill="1" applyBorder="1"/>
    <xf numFmtId="0" fontId="13" fillId="2" borderId="0" xfId="0" applyFont="1" applyFill="1"/>
    <xf numFmtId="0" fontId="7" fillId="2" borderId="1" xfId="0" applyFont="1" applyFill="1" applyBorder="1"/>
    <xf numFmtId="0" fontId="12" fillId="2" borderId="1" xfId="0" applyFont="1" applyFill="1" applyBorder="1"/>
    <xf numFmtId="0" fontId="29" fillId="0" borderId="0" xfId="0" applyFont="1"/>
    <xf numFmtId="0" fontId="11" fillId="4" borderId="1" xfId="0" applyFont="1" applyFill="1" applyBorder="1"/>
    <xf numFmtId="0" fontId="5" fillId="3" borderId="1" xfId="0" applyFont="1" applyFill="1" applyBorder="1"/>
    <xf numFmtId="0" fontId="11" fillId="2" borderId="1" xfId="0" quotePrefix="1" applyFont="1" applyFill="1" applyBorder="1"/>
    <xf numFmtId="0" fontId="8" fillId="3" borderId="1" xfId="0" applyFont="1" applyFill="1" applyBorder="1"/>
    <xf numFmtId="0" fontId="4" fillId="2" borderId="1" xfId="0" applyFont="1" applyFill="1" applyBorder="1"/>
    <xf numFmtId="0" fontId="12" fillId="4" borderId="0" xfId="0" applyFont="1" applyFill="1"/>
    <xf numFmtId="0" fontId="30" fillId="2" borderId="0" xfId="0" applyFont="1" applyFill="1"/>
    <xf numFmtId="10" fontId="0" fillId="0" borderId="0" xfId="1" applyNumberFormat="1" applyFont="1"/>
    <xf numFmtId="0" fontId="29" fillId="2" borderId="0" xfId="0" quotePrefix="1" applyFont="1" applyFill="1"/>
    <xf numFmtId="0" fontId="6" fillId="2" borderId="1" xfId="0" applyFont="1" applyFill="1" applyBorder="1"/>
    <xf numFmtId="0" fontId="7" fillId="3" borderId="1" xfId="0" quotePrefix="1" applyFont="1" applyFill="1" applyBorder="1"/>
    <xf numFmtId="0" fontId="13" fillId="2" borderId="1" xfId="0" applyFont="1" applyFill="1" applyBorder="1"/>
    <xf numFmtId="0" fontId="5" fillId="2" borderId="1" xfId="0" applyFont="1" applyFill="1" applyBorder="1"/>
    <xf numFmtId="0" fontId="6" fillId="3" borderId="1" xfId="0" applyFont="1" applyFill="1" applyBorder="1"/>
    <xf numFmtId="0" fontId="8" fillId="2" borderId="1" xfId="0" applyFont="1" applyFill="1" applyBorder="1"/>
    <xf numFmtId="0" fontId="9" fillId="3" borderId="1" xfId="0" applyFont="1" applyFill="1" applyBorder="1"/>
    <xf numFmtId="0" fontId="3" fillId="0" borderId="3"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5" fillId="3" borderId="5" xfId="0" applyFont="1" applyFill="1" applyBorder="1"/>
    <xf numFmtId="0" fontId="5" fillId="4" borderId="1" xfId="0" applyFont="1" applyFill="1" applyBorder="1"/>
    <xf numFmtId="0" fontId="32" fillId="6" borderId="6" xfId="0" applyFont="1" applyFill="1" applyBorder="1" applyAlignment="1">
      <alignment horizontal="center" vertical="center" wrapText="1"/>
    </xf>
    <xf numFmtId="0" fontId="32" fillId="7" borderId="6" xfId="0" applyFont="1" applyFill="1" applyBorder="1" applyAlignment="1">
      <alignment horizontal="center" vertical="center" wrapText="1"/>
    </xf>
    <xf numFmtId="0" fontId="33" fillId="8" borderId="6" xfId="0" applyFont="1" applyFill="1" applyBorder="1" applyAlignment="1">
      <alignment horizontal="center" vertical="center" wrapText="1"/>
    </xf>
    <xf numFmtId="0" fontId="32" fillId="9" borderId="6" xfId="0" applyFont="1" applyFill="1" applyBorder="1" applyAlignment="1">
      <alignment horizontal="center" vertical="center" wrapText="1"/>
    </xf>
    <xf numFmtId="0" fontId="32" fillId="9" borderId="6" xfId="0" applyFont="1" applyFill="1" applyBorder="1" applyAlignment="1">
      <alignment vertical="center" wrapText="1"/>
    </xf>
    <xf numFmtId="0" fontId="32" fillId="6" borderId="6" xfId="0" applyFont="1" applyFill="1" applyBorder="1" applyAlignment="1">
      <alignment vertical="center" wrapText="1"/>
    </xf>
    <xf numFmtId="0" fontId="32" fillId="10" borderId="6" xfId="0" applyFont="1" applyFill="1" applyBorder="1" applyAlignment="1">
      <alignment horizontal="center" vertical="center" wrapText="1"/>
    </xf>
    <xf numFmtId="0" fontId="32" fillId="9" borderId="6" xfId="0" applyFont="1" applyFill="1" applyBorder="1" applyAlignment="1">
      <alignment horizontal="center" wrapText="1"/>
    </xf>
    <xf numFmtId="0" fontId="32" fillId="10" borderId="6" xfId="0" applyFont="1" applyFill="1" applyBorder="1" applyAlignment="1">
      <alignment horizontal="center" wrapText="1"/>
    </xf>
    <xf numFmtId="0" fontId="32" fillId="9" borderId="6" xfId="0" applyFont="1" applyFill="1" applyBorder="1" applyAlignment="1">
      <alignment wrapText="1"/>
    </xf>
    <xf numFmtId="0" fontId="32" fillId="6" borderId="6" xfId="0" applyFont="1" applyFill="1" applyBorder="1" applyAlignment="1">
      <alignment horizontal="center" wrapText="1"/>
    </xf>
    <xf numFmtId="0" fontId="32" fillId="6" borderId="6" xfId="0" applyFont="1" applyFill="1" applyBorder="1" applyAlignment="1">
      <alignment wrapText="1"/>
    </xf>
    <xf numFmtId="0" fontId="32" fillId="11" borderId="6" xfId="0" applyFont="1" applyFill="1" applyBorder="1" applyAlignment="1">
      <alignment horizontal="center" vertical="center" wrapText="1"/>
    </xf>
    <xf numFmtId="0" fontId="32" fillId="11" borderId="6" xfId="0" applyFont="1" applyFill="1" applyBorder="1" applyAlignment="1">
      <alignment horizontal="center" wrapText="1"/>
    </xf>
    <xf numFmtId="0" fontId="32" fillId="12" borderId="6" xfId="0" applyFont="1" applyFill="1" applyBorder="1" applyAlignment="1">
      <alignment horizontal="center" vertical="center" wrapText="1"/>
    </xf>
    <xf numFmtId="0" fontId="32" fillId="12" borderId="6" xfId="0" applyFont="1" applyFill="1" applyBorder="1" applyAlignment="1">
      <alignment horizontal="center" wrapText="1"/>
    </xf>
    <xf numFmtId="0" fontId="32" fillId="13" borderId="6" xfId="0" applyFont="1" applyFill="1" applyBorder="1" applyAlignment="1">
      <alignment horizontal="center" vertical="center" wrapText="1"/>
    </xf>
    <xf numFmtId="0" fontId="32" fillId="14" borderId="6" xfId="0" applyFont="1" applyFill="1" applyBorder="1" applyAlignment="1">
      <alignment horizontal="center" vertical="center" wrapText="1"/>
    </xf>
    <xf numFmtId="0" fontId="32" fillId="15" borderId="6" xfId="0" applyFont="1" applyFill="1" applyBorder="1" applyAlignment="1">
      <alignment horizontal="center" vertical="center" wrapText="1"/>
    </xf>
    <xf numFmtId="0" fontId="34" fillId="16" borderId="6" xfId="0" applyFont="1" applyFill="1" applyBorder="1" applyAlignment="1">
      <alignment horizontal="center" vertical="center" wrapText="1"/>
    </xf>
    <xf numFmtId="0" fontId="35" fillId="6" borderId="6" xfId="0" applyFont="1" applyFill="1" applyBorder="1" applyAlignment="1">
      <alignment horizontal="center" vertical="center" wrapText="1"/>
    </xf>
    <xf numFmtId="0" fontId="32" fillId="6" borderId="6" xfId="0" applyFont="1" applyFill="1" applyBorder="1" applyAlignment="1">
      <alignment horizontal="center" vertical="center"/>
    </xf>
    <xf numFmtId="0" fontId="34" fillId="17" borderId="6" xfId="0" applyFont="1" applyFill="1" applyBorder="1" applyAlignment="1">
      <alignment horizontal="center" vertical="center" wrapText="1"/>
    </xf>
    <xf numFmtId="0" fontId="32" fillId="18" borderId="6" xfId="0" applyFont="1" applyFill="1" applyBorder="1" applyAlignment="1">
      <alignment horizontal="center" vertical="center" wrapText="1"/>
    </xf>
    <xf numFmtId="0" fontId="32" fillId="19" borderId="6" xfId="0" applyFont="1" applyFill="1" applyBorder="1" applyAlignment="1">
      <alignment horizontal="center" vertical="center" wrapText="1"/>
    </xf>
    <xf numFmtId="0" fontId="13" fillId="4" borderId="0" xfId="0" applyFont="1" applyFill="1"/>
    <xf numFmtId="0" fontId="29" fillId="4" borderId="0" xfId="0" applyFont="1" applyFill="1"/>
    <xf numFmtId="0" fontId="11" fillId="2" borderId="5" xfId="0" applyFont="1" applyFill="1" applyBorder="1"/>
    <xf numFmtId="0" fontId="7" fillId="3" borderId="5" xfId="0" applyFont="1" applyFill="1" applyBorder="1"/>
    <xf numFmtId="0" fontId="7" fillId="3" borderId="2" xfId="0" applyFont="1" applyFill="1" applyBorder="1"/>
    <xf numFmtId="0" fontId="29" fillId="3" borderId="0" xfId="0" applyFont="1" applyFill="1"/>
    <xf numFmtId="0" fontId="36" fillId="8" borderId="6" xfId="0" applyFont="1" applyFill="1" applyBorder="1" applyAlignment="1">
      <alignment horizontal="center" vertical="center" wrapText="1"/>
    </xf>
    <xf numFmtId="0" fontId="36" fillId="8" borderId="6" xfId="0" quotePrefix="1" applyFont="1" applyFill="1" applyBorder="1" applyAlignment="1">
      <alignment horizontal="center" vertical="center" wrapText="1"/>
    </xf>
    <xf numFmtId="0" fontId="28" fillId="0" borderId="0" xfId="0" applyFont="1" applyAlignment="1">
      <alignment horizontal="center"/>
    </xf>
    <xf numFmtId="0" fontId="7" fillId="20" borderId="1" xfId="0" applyFont="1" applyFill="1" applyBorder="1"/>
    <xf numFmtId="0" fontId="6" fillId="20" borderId="1" xfId="0" applyFont="1" applyFill="1" applyBorder="1"/>
    <xf numFmtId="0" fontId="10" fillId="20" borderId="0" xfId="0" quotePrefix="1" applyFont="1" applyFill="1"/>
    <xf numFmtId="0" fontId="10" fillId="20" borderId="1" xfId="0" applyFont="1" applyFill="1" applyBorder="1"/>
    <xf numFmtId="0" fontId="0" fillId="2" borderId="0" xfId="0" applyFill="1"/>
    <xf numFmtId="0" fontId="0" fillId="3" borderId="0" xfId="0" applyFill="1"/>
    <xf numFmtId="0" fontId="0" fillId="3" borderId="1" xfId="0" applyFill="1" applyBorder="1"/>
    <xf numFmtId="0" fontId="0" fillId="4" borderId="1" xfId="0" applyFill="1" applyBorder="1"/>
    <xf numFmtId="0" fontId="0" fillId="2" borderId="1" xfId="0" applyFill="1" applyBorder="1"/>
    <xf numFmtId="0" fontId="4" fillId="20" borderId="1" xfId="0" applyFont="1" applyFill="1" applyBorder="1"/>
    <xf numFmtId="0" fontId="7" fillId="4" borderId="1" xfId="0" applyFont="1" applyFill="1" applyBorder="1"/>
    <xf numFmtId="0" fontId="0" fillId="0" borderId="7" xfId="0" applyBorder="1"/>
    <xf numFmtId="0" fontId="0" fillId="21" borderId="0" xfId="0" applyFill="1"/>
    <xf numFmtId="0" fontId="0" fillId="0" borderId="8" xfId="0" applyBorder="1"/>
    <xf numFmtId="10" fontId="0" fillId="3" borderId="8" xfId="1" applyNumberFormat="1" applyFont="1" applyFill="1" applyBorder="1"/>
    <xf numFmtId="0" fontId="0" fillId="22" borderId="0" xfId="0" applyFill="1"/>
    <xf numFmtId="0" fontId="1" fillId="0" borderId="3" xfId="0" applyFont="1" applyBorder="1"/>
    <xf numFmtId="0" fontId="1" fillId="0" borderId="3" xfId="0" applyFont="1" applyBorder="1" applyAlignment="1">
      <alignment horizontal="center"/>
    </xf>
    <xf numFmtId="0" fontId="29" fillId="2" borderId="1" xfId="0" applyFont="1" applyFill="1" applyBorder="1"/>
    <xf numFmtId="0" fontId="4" fillId="3" borderId="9" xfId="0" applyFont="1" applyFill="1" applyBorder="1"/>
    <xf numFmtId="0" fontId="13" fillId="3" borderId="1" xfId="0" applyFont="1" applyFill="1" applyBorder="1"/>
    <xf numFmtId="0" fontId="4" fillId="3" borderId="5" xfId="0" applyFont="1" applyFill="1" applyBorder="1"/>
    <xf numFmtId="0" fontId="4" fillId="2" borderId="9" xfId="0" applyFont="1" applyFill="1" applyBorder="1"/>
    <xf numFmtId="0" fontId="13" fillId="3" borderId="0" xfId="0" applyFont="1" applyFill="1"/>
    <xf numFmtId="0" fontId="7" fillId="2" borderId="4" xfId="0" applyFont="1" applyFill="1" applyBorder="1"/>
    <xf numFmtId="0" fontId="7" fillId="3" borderId="5" xfId="0" quotePrefix="1" applyFont="1" applyFill="1" applyBorder="1"/>
    <xf numFmtId="0" fontId="0" fillId="0" borderId="0" xfId="0" applyAlignment="1">
      <alignment horizontal="center"/>
    </xf>
    <xf numFmtId="0" fontId="0" fillId="0" borderId="10" xfId="0" applyBorder="1" applyAlignment="1">
      <alignment horizontal="center"/>
    </xf>
    <xf numFmtId="0" fontId="0" fillId="0" borderId="7" xfId="0" applyBorder="1" applyAlignment="1">
      <alignment horizontal="center"/>
    </xf>
    <xf numFmtId="0" fontId="5" fillId="20" borderId="1" xfId="0" applyFont="1" applyFill="1" applyBorder="1"/>
  </cellXfs>
  <cellStyles count="3">
    <cellStyle name="Normal" xfId="0" builtinId="0"/>
    <cellStyle name="Percent" xfId="1" builtinId="5"/>
    <cellStyle name="Percent 2" xfId="2" xr:uid="{94337319-0488-46CD-B892-7E1F113930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Proof</a:t>
            </a:r>
            <a:r>
              <a:rPr lang="en-US" baseline="0"/>
              <a:t> that Rob Plays WAY Too Much D&amp;D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Classes!$AH$10:$AH$22</c:f>
              <c:strCache>
                <c:ptCount val="13"/>
                <c:pt idx="0">
                  <c:v>Artificer</c:v>
                </c:pt>
                <c:pt idx="1">
                  <c:v>Barbarian</c:v>
                </c:pt>
                <c:pt idx="2">
                  <c:v>Bard</c:v>
                </c:pt>
                <c:pt idx="3">
                  <c:v>Cleric</c:v>
                </c:pt>
                <c:pt idx="4">
                  <c:v>Druid</c:v>
                </c:pt>
                <c:pt idx="5">
                  <c:v>Fighter</c:v>
                </c:pt>
                <c:pt idx="6">
                  <c:v>Monk</c:v>
                </c:pt>
                <c:pt idx="7">
                  <c:v>Paladin</c:v>
                </c:pt>
                <c:pt idx="8">
                  <c:v>Ranger</c:v>
                </c:pt>
                <c:pt idx="9">
                  <c:v>Rogue</c:v>
                </c:pt>
                <c:pt idx="10">
                  <c:v>Sorcerer</c:v>
                </c:pt>
                <c:pt idx="11">
                  <c:v>Warlock</c:v>
                </c:pt>
                <c:pt idx="12">
                  <c:v>Wizard</c:v>
                </c:pt>
              </c:strCache>
            </c:strRef>
          </c:cat>
          <c:val>
            <c:numRef>
              <c:f>Classes!$AI$10:$AI$22</c:f>
              <c:numCache>
                <c:formatCode>General</c:formatCode>
                <c:ptCount val="13"/>
                <c:pt idx="0">
                  <c:v>96</c:v>
                </c:pt>
                <c:pt idx="1">
                  <c:v>126</c:v>
                </c:pt>
                <c:pt idx="2">
                  <c:v>94</c:v>
                </c:pt>
                <c:pt idx="3">
                  <c:v>90</c:v>
                </c:pt>
                <c:pt idx="4">
                  <c:v>87</c:v>
                </c:pt>
                <c:pt idx="5">
                  <c:v>108</c:v>
                </c:pt>
                <c:pt idx="6">
                  <c:v>93</c:v>
                </c:pt>
                <c:pt idx="7">
                  <c:v>96</c:v>
                </c:pt>
                <c:pt idx="8">
                  <c:v>72</c:v>
                </c:pt>
                <c:pt idx="9">
                  <c:v>116</c:v>
                </c:pt>
                <c:pt idx="10">
                  <c:v>99</c:v>
                </c:pt>
                <c:pt idx="11">
                  <c:v>99</c:v>
                </c:pt>
                <c:pt idx="12">
                  <c:v>73</c:v>
                </c:pt>
              </c:numCache>
            </c:numRef>
          </c:val>
          <c:extLst>
            <c:ext xmlns:c16="http://schemas.microsoft.com/office/drawing/2014/chart" uri="{C3380CC4-5D6E-409C-BE32-E72D297353CC}">
              <c16:uniqueId val="{00000000-0B95-4D85-A36B-4BB0473995E2}"/>
            </c:ext>
          </c:extLst>
        </c:ser>
        <c:dLbls>
          <c:showLegendKey val="0"/>
          <c:showVal val="0"/>
          <c:showCatName val="0"/>
          <c:showSerName val="0"/>
          <c:showPercent val="0"/>
          <c:showBubbleSize val="0"/>
        </c:dLbls>
        <c:gapWidth val="219"/>
        <c:overlap val="-27"/>
        <c:axId val="1440864623"/>
        <c:axId val="1440865583"/>
      </c:barChart>
      <c:catAx>
        <c:axId val="144086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865583"/>
        <c:crosses val="autoZero"/>
        <c:auto val="1"/>
        <c:lblAlgn val="ctr"/>
        <c:lblOffset val="100"/>
        <c:noMultiLvlLbl val="0"/>
      </c:catAx>
      <c:valAx>
        <c:axId val="144086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86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xdr:from>
      <xdr:col>25</xdr:col>
      <xdr:colOff>525780</xdr:colOff>
      <xdr:row>24</xdr:row>
      <xdr:rowOff>68580</xdr:rowOff>
    </xdr:from>
    <xdr:to>
      <xdr:col>33</xdr:col>
      <xdr:colOff>220980</xdr:colOff>
      <xdr:row>39</xdr:row>
      <xdr:rowOff>95250</xdr:rowOff>
    </xdr:to>
    <xdr:graphicFrame macro="">
      <xdr:nvGraphicFramePr>
        <xdr:cNvPr id="2" name="Chart 1">
          <a:extLst>
            <a:ext uri="{FF2B5EF4-FFF2-40B4-BE49-F238E27FC236}">
              <a16:creationId xmlns:a16="http://schemas.microsoft.com/office/drawing/2014/main" id="{6A296395-F2F3-3192-B452-7F379511D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954406</xdr:colOff>
      <xdr:row>210</xdr:row>
      <xdr:rowOff>59055</xdr:rowOff>
    </xdr:from>
    <xdr:to>
      <xdr:col>25</xdr:col>
      <xdr:colOff>2267903</xdr:colOff>
      <xdr:row>223</xdr:row>
      <xdr:rowOff>170903</xdr:rowOff>
    </xdr:to>
    <xdr:pic>
      <xdr:nvPicPr>
        <xdr:cNvPr id="4" name="Picture 3">
          <a:extLst>
            <a:ext uri="{FF2B5EF4-FFF2-40B4-BE49-F238E27FC236}">
              <a16:creationId xmlns:a16="http://schemas.microsoft.com/office/drawing/2014/main" id="{B8459229-AD12-B0CA-3227-647EA7C523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513106" y="40064055"/>
          <a:ext cx="4806314" cy="2581680"/>
        </a:xfrm>
        <a:prstGeom prst="rect">
          <a:avLst/>
        </a:prstGeom>
      </xdr:spPr>
    </xdr:pic>
    <xdr:clientData/>
  </xdr:twoCellAnchor>
  <xdr:twoCellAnchor editAs="oneCell">
    <xdr:from>
      <xdr:col>35</xdr:col>
      <xdr:colOff>1143000</xdr:colOff>
      <xdr:row>231</xdr:row>
      <xdr:rowOff>161925</xdr:rowOff>
    </xdr:from>
    <xdr:to>
      <xdr:col>39</xdr:col>
      <xdr:colOff>1906905</xdr:colOff>
      <xdr:row>237</xdr:row>
      <xdr:rowOff>172403</xdr:rowOff>
    </xdr:to>
    <xdr:pic>
      <xdr:nvPicPr>
        <xdr:cNvPr id="2" name="Picture 1">
          <a:extLst>
            <a:ext uri="{FF2B5EF4-FFF2-40B4-BE49-F238E27FC236}">
              <a16:creationId xmlns:a16="http://schemas.microsoft.com/office/drawing/2014/main" id="{FC541E9B-A5C0-91EE-86DC-37E2962D15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285350" y="19402425"/>
          <a:ext cx="8334375" cy="116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xdr:col>
      <xdr:colOff>1962150</xdr:colOff>
      <xdr:row>214</xdr:row>
      <xdr:rowOff>9525</xdr:rowOff>
    </xdr:from>
    <xdr:to>
      <xdr:col>42</xdr:col>
      <xdr:colOff>382904</xdr:colOff>
      <xdr:row>227</xdr:row>
      <xdr:rowOff>132803</xdr:rowOff>
    </xdr:to>
    <xdr:pic>
      <xdr:nvPicPr>
        <xdr:cNvPr id="3" name="Picture 2">
          <a:extLst>
            <a:ext uri="{FF2B5EF4-FFF2-40B4-BE49-F238E27FC236}">
              <a16:creationId xmlns:a16="http://schemas.microsoft.com/office/drawing/2014/main" id="{43E18D8A-4AD0-405E-A607-8979FE1134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820125" y="40776525"/>
          <a:ext cx="4815839" cy="260644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1"/>
  <sheetViews>
    <sheetView workbookViewId="0">
      <pane xSplit="5" ySplit="3" topLeftCell="F40" activePane="bottomRight" state="frozen"/>
      <selection pane="topRight" activeCell="B1" sqref="B1"/>
      <selection pane="bottomLeft" activeCell="A3" sqref="A3"/>
      <selection pane="bottomRight" activeCell="AI23" sqref="AI23"/>
    </sheetView>
  </sheetViews>
  <sheetFormatPr defaultRowHeight="15" x14ac:dyDescent="0.25"/>
  <cols>
    <col min="1" max="1" width="16.7109375" style="67" bestFit="1" customWidth="1"/>
    <col min="2" max="2" width="7" style="67" customWidth="1"/>
    <col min="3" max="3" width="6.42578125" style="67" customWidth="1"/>
    <col min="4" max="4" width="10.28515625" style="67" customWidth="1"/>
    <col min="5" max="5" width="24.140625" style="67" customWidth="1"/>
    <col min="6" max="6" width="24" style="67" customWidth="1"/>
    <col min="7" max="7" width="10.28515625" customWidth="1"/>
  </cols>
  <sheetData>
    <row r="1" spans="1:36" x14ac:dyDescent="0.25">
      <c r="G1">
        <f t="shared" ref="G1:S1" si="0">SUM(G4:G101)</f>
        <v>96</v>
      </c>
      <c r="H1">
        <f t="shared" si="0"/>
        <v>126</v>
      </c>
      <c r="I1">
        <f t="shared" si="0"/>
        <v>94</v>
      </c>
      <c r="J1">
        <f t="shared" si="0"/>
        <v>90</v>
      </c>
      <c r="K1">
        <f t="shared" si="0"/>
        <v>87</v>
      </c>
      <c r="L1">
        <f t="shared" si="0"/>
        <v>108</v>
      </c>
      <c r="M1">
        <f t="shared" si="0"/>
        <v>93</v>
      </c>
      <c r="N1">
        <f t="shared" si="0"/>
        <v>96</v>
      </c>
      <c r="O1">
        <f t="shared" si="0"/>
        <v>72</v>
      </c>
      <c r="P1">
        <f t="shared" si="0"/>
        <v>116</v>
      </c>
      <c r="Q1">
        <f t="shared" si="0"/>
        <v>99</v>
      </c>
      <c r="R1">
        <f t="shared" si="0"/>
        <v>99</v>
      </c>
      <c r="S1">
        <f t="shared" si="0"/>
        <v>73</v>
      </c>
    </row>
    <row r="2" spans="1:36" x14ac:dyDescent="0.25">
      <c r="C2" s="67">
        <f>COUNTIF(C3:C1001, "Y")</f>
        <v>40</v>
      </c>
      <c r="G2">
        <f>COUNT(G3:G301)</f>
        <v>5</v>
      </c>
      <c r="H2">
        <f t="shared" ref="H2:S2" si="1">COUNT(H3:H301)</f>
        <v>7</v>
      </c>
      <c r="I2">
        <f t="shared" si="1"/>
        <v>7</v>
      </c>
      <c r="J2">
        <f t="shared" si="1"/>
        <v>10</v>
      </c>
      <c r="K2">
        <f t="shared" si="1"/>
        <v>7</v>
      </c>
      <c r="L2">
        <f t="shared" si="1"/>
        <v>7</v>
      </c>
      <c r="M2">
        <f t="shared" si="1"/>
        <v>6</v>
      </c>
      <c r="N2">
        <f t="shared" si="1"/>
        <v>7</v>
      </c>
      <c r="O2">
        <f t="shared" si="1"/>
        <v>5</v>
      </c>
      <c r="P2">
        <f t="shared" si="1"/>
        <v>8</v>
      </c>
      <c r="Q2">
        <f t="shared" si="1"/>
        <v>6</v>
      </c>
      <c r="R2">
        <f t="shared" si="1"/>
        <v>8</v>
      </c>
      <c r="S2">
        <f t="shared" si="1"/>
        <v>7</v>
      </c>
      <c r="T2" t="s">
        <v>0</v>
      </c>
      <c r="U2" t="s">
        <v>1</v>
      </c>
    </row>
    <row r="3" spans="1:36" x14ac:dyDescent="0.25">
      <c r="A3" s="67" t="s">
        <v>2</v>
      </c>
      <c r="B3" s="67" t="s">
        <v>3</v>
      </c>
      <c r="C3" s="67" t="s">
        <v>4</v>
      </c>
      <c r="D3" s="67" t="s">
        <v>5</v>
      </c>
      <c r="E3" s="67" t="s">
        <v>6</v>
      </c>
      <c r="F3" s="67" t="s">
        <v>7</v>
      </c>
      <c r="G3" t="s">
        <v>8</v>
      </c>
      <c r="H3" t="s">
        <v>9</v>
      </c>
      <c r="I3" t="s">
        <v>10</v>
      </c>
      <c r="J3" t="s">
        <v>11</v>
      </c>
      <c r="K3" t="s">
        <v>12</v>
      </c>
      <c r="L3" t="s">
        <v>13</v>
      </c>
      <c r="M3" t="s">
        <v>14</v>
      </c>
      <c r="N3" t="s">
        <v>15</v>
      </c>
      <c r="O3" t="s">
        <v>16</v>
      </c>
      <c r="P3" t="s">
        <v>17</v>
      </c>
      <c r="Q3" t="s">
        <v>18</v>
      </c>
      <c r="R3" t="s">
        <v>19</v>
      </c>
      <c r="S3" t="s">
        <v>20</v>
      </c>
      <c r="T3" t="s">
        <v>21</v>
      </c>
      <c r="U3" t="s">
        <v>22</v>
      </c>
    </row>
    <row r="4" spans="1:36" x14ac:dyDescent="0.25">
      <c r="A4" s="67" t="s">
        <v>23</v>
      </c>
      <c r="B4" s="67">
        <v>5</v>
      </c>
      <c r="C4" s="67" t="s">
        <v>24</v>
      </c>
      <c r="D4" s="67" t="s">
        <v>25</v>
      </c>
      <c r="E4" s="67" t="s">
        <v>26</v>
      </c>
      <c r="F4" s="67" t="s">
        <v>27</v>
      </c>
      <c r="H4">
        <v>20</v>
      </c>
      <c r="T4">
        <f t="shared" ref="T4:T35" si="2">SUM(G4:S4)</f>
        <v>20</v>
      </c>
      <c r="U4">
        <f t="shared" ref="U4:U35" si="3">COUNT(G4:S4)</f>
        <v>1</v>
      </c>
      <c r="W4" t="s">
        <v>0</v>
      </c>
      <c r="X4">
        <f>COUNTIF(T:T,"&gt;0")</f>
        <v>77</v>
      </c>
    </row>
    <row r="5" spans="1:36" x14ac:dyDescent="0.25">
      <c r="A5" s="67" t="s">
        <v>23</v>
      </c>
      <c r="B5" s="67">
        <v>1</v>
      </c>
      <c r="D5" s="67" t="s">
        <v>28</v>
      </c>
      <c r="E5" s="67" t="s">
        <v>29</v>
      </c>
      <c r="F5" s="67" t="s">
        <v>30</v>
      </c>
      <c r="I5">
        <v>19</v>
      </c>
      <c r="J5">
        <v>1</v>
      </c>
      <c r="T5">
        <f t="shared" si="2"/>
        <v>20</v>
      </c>
      <c r="U5">
        <f t="shared" si="3"/>
        <v>2</v>
      </c>
    </row>
    <row r="6" spans="1:36" x14ac:dyDescent="0.25">
      <c r="A6" s="67" t="s">
        <v>23</v>
      </c>
      <c r="B6" s="67">
        <v>2</v>
      </c>
      <c r="C6" s="142" t="s">
        <v>31</v>
      </c>
      <c r="D6" s="67" t="s">
        <v>25</v>
      </c>
      <c r="E6" s="67" t="s">
        <v>32</v>
      </c>
      <c r="F6" s="67" t="s">
        <v>33</v>
      </c>
      <c r="L6">
        <v>5</v>
      </c>
      <c r="P6">
        <v>15</v>
      </c>
      <c r="T6">
        <f t="shared" si="2"/>
        <v>20</v>
      </c>
      <c r="U6">
        <f t="shared" si="3"/>
        <v>2</v>
      </c>
      <c r="W6" t="s">
        <v>34</v>
      </c>
      <c r="X6">
        <f>COUNTIF(T:T, "&gt;16")</f>
        <v>54</v>
      </c>
      <c r="Y6" s="95">
        <f>X6/$X$4</f>
        <v>0.70129870129870131</v>
      </c>
    </row>
    <row r="7" spans="1:36" x14ac:dyDescent="0.25">
      <c r="A7" s="67" t="s">
        <v>23</v>
      </c>
      <c r="B7" s="67">
        <v>2</v>
      </c>
      <c r="D7" s="67" t="s">
        <v>28</v>
      </c>
      <c r="E7" s="67" t="s">
        <v>35</v>
      </c>
      <c r="F7" s="67" t="s">
        <v>36</v>
      </c>
      <c r="S7">
        <v>20</v>
      </c>
      <c r="T7">
        <f t="shared" si="2"/>
        <v>20</v>
      </c>
      <c r="U7">
        <f t="shared" si="3"/>
        <v>1</v>
      </c>
      <c r="W7" t="s">
        <v>37</v>
      </c>
      <c r="X7">
        <f>COUNTIF(T:T, "&gt;10")-X6</f>
        <v>10</v>
      </c>
      <c r="Y7" s="95">
        <f>X7/$X$4</f>
        <v>0.12987012987012986</v>
      </c>
    </row>
    <row r="8" spans="1:36" x14ac:dyDescent="0.25">
      <c r="A8" s="67" t="s">
        <v>23</v>
      </c>
      <c r="B8" s="67">
        <v>5</v>
      </c>
      <c r="C8" s="142" t="s">
        <v>38</v>
      </c>
      <c r="D8" s="67" t="s">
        <v>25</v>
      </c>
      <c r="E8" s="67" t="s">
        <v>39</v>
      </c>
      <c r="F8" s="67" t="s">
        <v>40</v>
      </c>
      <c r="R8">
        <v>20</v>
      </c>
      <c r="T8">
        <f t="shared" si="2"/>
        <v>20</v>
      </c>
      <c r="U8">
        <f t="shared" si="3"/>
        <v>1</v>
      </c>
      <c r="W8" t="s">
        <v>41</v>
      </c>
      <c r="X8">
        <f>COUNTIF(T:T, "&gt;4")-X7-X6</f>
        <v>3</v>
      </c>
      <c r="Y8" s="95">
        <f>X8/$X$4</f>
        <v>3.896103896103896E-2</v>
      </c>
    </row>
    <row r="9" spans="1:36" x14ac:dyDescent="0.25">
      <c r="A9" s="67" t="s">
        <v>23</v>
      </c>
      <c r="B9" s="67">
        <v>7</v>
      </c>
      <c r="C9" s="67" t="s">
        <v>28</v>
      </c>
      <c r="D9" s="67" t="s">
        <v>25</v>
      </c>
      <c r="E9" s="67" t="s">
        <v>42</v>
      </c>
      <c r="F9" s="67" t="s">
        <v>43</v>
      </c>
      <c r="K9">
        <v>1</v>
      </c>
      <c r="M9">
        <v>19</v>
      </c>
      <c r="T9">
        <f t="shared" si="2"/>
        <v>20</v>
      </c>
      <c r="U9">
        <f t="shared" si="3"/>
        <v>2</v>
      </c>
      <c r="W9" t="s">
        <v>44</v>
      </c>
      <c r="X9">
        <f>COUNTIF(T:T, "&gt;0")-X8-X7-X6</f>
        <v>10</v>
      </c>
      <c r="Y9" s="95">
        <f>X9/$X$4</f>
        <v>0.12987012987012986</v>
      </c>
    </row>
    <row r="10" spans="1:36" x14ac:dyDescent="0.25">
      <c r="A10" s="67" t="s">
        <v>23</v>
      </c>
      <c r="B10" s="67">
        <v>7</v>
      </c>
      <c r="D10" s="67" t="s">
        <v>25</v>
      </c>
      <c r="E10" s="67" t="s">
        <v>45</v>
      </c>
      <c r="F10" s="67" t="s">
        <v>46</v>
      </c>
      <c r="O10">
        <v>20</v>
      </c>
      <c r="T10">
        <f t="shared" si="2"/>
        <v>20</v>
      </c>
      <c r="U10">
        <f t="shared" si="3"/>
        <v>1</v>
      </c>
      <c r="AH10" t="s">
        <v>8</v>
      </c>
      <c r="AI10">
        <f>SUM(G4:G300)</f>
        <v>96</v>
      </c>
      <c r="AJ10">
        <f t="shared" ref="AJ10:AJ21" si="4">AI10-$AI$23</f>
        <v>-7.6923076923080203E-2</v>
      </c>
    </row>
    <row r="11" spans="1:36" x14ac:dyDescent="0.25">
      <c r="A11" s="67" t="s">
        <v>23</v>
      </c>
      <c r="B11" s="67">
        <v>4</v>
      </c>
      <c r="C11" s="67" t="s">
        <v>28</v>
      </c>
      <c r="D11" s="67" t="s">
        <v>28</v>
      </c>
      <c r="E11" s="67" t="s">
        <v>47</v>
      </c>
      <c r="F11" s="67" t="s">
        <v>48</v>
      </c>
      <c r="J11">
        <v>20</v>
      </c>
      <c r="T11">
        <f t="shared" si="2"/>
        <v>20</v>
      </c>
      <c r="U11">
        <f t="shared" si="3"/>
        <v>1</v>
      </c>
      <c r="W11">
        <f>COUNTIF(U:U,1)</f>
        <v>66</v>
      </c>
      <c r="X11">
        <f>W11/X4</f>
        <v>0.8571428571428571</v>
      </c>
      <c r="AH11" t="s">
        <v>9</v>
      </c>
      <c r="AI11">
        <f>SUM(H4:H300)</f>
        <v>126</v>
      </c>
      <c r="AJ11">
        <f t="shared" si="4"/>
        <v>29.92307692307692</v>
      </c>
    </row>
    <row r="12" spans="1:36" x14ac:dyDescent="0.25">
      <c r="A12" s="67" t="s">
        <v>23</v>
      </c>
      <c r="B12" s="67">
        <v>6</v>
      </c>
      <c r="C12" s="67" t="s">
        <v>24</v>
      </c>
      <c r="D12" s="67" t="s">
        <v>28</v>
      </c>
      <c r="E12" s="67" t="s">
        <v>49</v>
      </c>
      <c r="F12" s="67" t="s">
        <v>50</v>
      </c>
      <c r="Q12">
        <v>20</v>
      </c>
      <c r="T12">
        <f t="shared" si="2"/>
        <v>20</v>
      </c>
      <c r="U12">
        <f t="shared" si="3"/>
        <v>1</v>
      </c>
      <c r="AH12" t="s">
        <v>10</v>
      </c>
      <c r="AI12">
        <f>SUM(I4:I300)</f>
        <v>94</v>
      </c>
      <c r="AJ12">
        <f t="shared" si="4"/>
        <v>-2.0769230769230802</v>
      </c>
    </row>
    <row r="13" spans="1:36" x14ac:dyDescent="0.25">
      <c r="A13" s="67" t="s">
        <v>23</v>
      </c>
      <c r="B13" s="67">
        <v>8</v>
      </c>
      <c r="C13" s="67" t="s">
        <v>28</v>
      </c>
      <c r="D13" s="67" t="s">
        <v>25</v>
      </c>
      <c r="E13" s="67" t="s">
        <v>51</v>
      </c>
      <c r="F13" s="67" t="s">
        <v>52</v>
      </c>
      <c r="L13">
        <v>20</v>
      </c>
      <c r="T13">
        <f t="shared" si="2"/>
        <v>20</v>
      </c>
      <c r="U13">
        <f t="shared" si="3"/>
        <v>1</v>
      </c>
      <c r="AH13" t="s">
        <v>11</v>
      </c>
      <c r="AI13">
        <f>SUM(J4:J300)</f>
        <v>90</v>
      </c>
      <c r="AJ13">
        <f t="shared" si="4"/>
        <v>-6.0769230769230802</v>
      </c>
    </row>
    <row r="14" spans="1:36" x14ac:dyDescent="0.25">
      <c r="A14" s="67" t="s">
        <v>23</v>
      </c>
      <c r="B14" s="67">
        <v>8</v>
      </c>
      <c r="C14" s="67" t="s">
        <v>28</v>
      </c>
      <c r="D14" s="67" t="s">
        <v>28</v>
      </c>
      <c r="E14" s="67" t="s">
        <v>53</v>
      </c>
      <c r="F14" s="67" t="s">
        <v>54</v>
      </c>
      <c r="S14">
        <v>20</v>
      </c>
      <c r="T14">
        <f t="shared" si="2"/>
        <v>20</v>
      </c>
      <c r="U14">
        <f t="shared" si="3"/>
        <v>1</v>
      </c>
      <c r="AH14" t="s">
        <v>12</v>
      </c>
      <c r="AI14">
        <f>SUM(K4:K300)</f>
        <v>87</v>
      </c>
      <c r="AJ14">
        <f t="shared" si="4"/>
        <v>-9.0769230769230802</v>
      </c>
    </row>
    <row r="15" spans="1:36" x14ac:dyDescent="0.25">
      <c r="A15" s="67" t="s">
        <v>23</v>
      </c>
      <c r="B15" s="67">
        <v>9</v>
      </c>
      <c r="C15" s="67" t="s">
        <v>24</v>
      </c>
      <c r="D15" s="67" t="s">
        <v>25</v>
      </c>
      <c r="E15" s="67" t="s">
        <v>55</v>
      </c>
      <c r="F15" s="67" t="s">
        <v>56</v>
      </c>
      <c r="H15">
        <v>20</v>
      </c>
      <c r="T15">
        <f t="shared" si="2"/>
        <v>20</v>
      </c>
      <c r="U15">
        <f t="shared" si="3"/>
        <v>1</v>
      </c>
      <c r="AH15" t="s">
        <v>13</v>
      </c>
      <c r="AI15">
        <f>SUM(L4:L300)</f>
        <v>108</v>
      </c>
      <c r="AJ15">
        <f t="shared" si="4"/>
        <v>11.92307692307692</v>
      </c>
    </row>
    <row r="16" spans="1:36" x14ac:dyDescent="0.25">
      <c r="A16" s="67" t="s">
        <v>57</v>
      </c>
      <c r="C16" s="67" t="s">
        <v>25</v>
      </c>
      <c r="D16" s="67" t="s">
        <v>58</v>
      </c>
      <c r="E16" s="67" t="s">
        <v>59</v>
      </c>
      <c r="F16" s="67" t="s">
        <v>60</v>
      </c>
      <c r="G16">
        <v>20</v>
      </c>
      <c r="T16">
        <f t="shared" si="2"/>
        <v>20</v>
      </c>
      <c r="U16">
        <f t="shared" si="3"/>
        <v>1</v>
      </c>
      <c r="AH16" t="s">
        <v>14</v>
      </c>
      <c r="AI16">
        <f>SUM(M4:M300)</f>
        <v>93</v>
      </c>
      <c r="AJ16">
        <f t="shared" si="4"/>
        <v>-3.0769230769230802</v>
      </c>
    </row>
    <row r="17" spans="1:36" x14ac:dyDescent="0.25">
      <c r="A17" s="67" t="s">
        <v>57</v>
      </c>
      <c r="C17" s="67" t="s">
        <v>25</v>
      </c>
      <c r="D17" s="67" t="s">
        <v>58</v>
      </c>
      <c r="E17" s="67" t="s">
        <v>61</v>
      </c>
      <c r="F17" s="67" t="s">
        <v>62</v>
      </c>
      <c r="L17">
        <v>20</v>
      </c>
      <c r="T17">
        <f t="shared" si="2"/>
        <v>20</v>
      </c>
      <c r="U17">
        <f t="shared" si="3"/>
        <v>1</v>
      </c>
      <c r="AH17" t="s">
        <v>15</v>
      </c>
      <c r="AI17">
        <f>SUM(N4:N300)</f>
        <v>96</v>
      </c>
      <c r="AJ17">
        <f t="shared" si="4"/>
        <v>-7.6923076923080203E-2</v>
      </c>
    </row>
    <row r="18" spans="1:36" x14ac:dyDescent="0.25">
      <c r="A18" s="67" t="s">
        <v>23</v>
      </c>
      <c r="B18" s="67">
        <v>8</v>
      </c>
      <c r="D18" s="67" t="s">
        <v>25</v>
      </c>
      <c r="E18" s="67" t="s">
        <v>63</v>
      </c>
      <c r="F18" s="67" t="s">
        <v>64</v>
      </c>
      <c r="P18">
        <v>18</v>
      </c>
      <c r="S18">
        <v>2</v>
      </c>
      <c r="T18">
        <f t="shared" si="2"/>
        <v>20</v>
      </c>
      <c r="U18">
        <f t="shared" si="3"/>
        <v>2</v>
      </c>
      <c r="AH18" t="s">
        <v>16</v>
      </c>
      <c r="AI18">
        <f>SUM(O4:O300)</f>
        <v>72</v>
      </c>
      <c r="AJ18">
        <f t="shared" si="4"/>
        <v>-24.07692307692308</v>
      </c>
    </row>
    <row r="19" spans="1:36" x14ac:dyDescent="0.25">
      <c r="A19" s="67" t="s">
        <v>23</v>
      </c>
      <c r="B19" s="67">
        <v>3</v>
      </c>
      <c r="C19" s="67" t="s">
        <v>24</v>
      </c>
      <c r="D19" s="67" t="s">
        <v>25</v>
      </c>
      <c r="E19" s="67" t="s">
        <v>65</v>
      </c>
      <c r="F19" s="67" t="s">
        <v>66</v>
      </c>
      <c r="N19">
        <v>20</v>
      </c>
      <c r="T19">
        <f t="shared" si="2"/>
        <v>20</v>
      </c>
      <c r="U19">
        <f t="shared" si="3"/>
        <v>1</v>
      </c>
      <c r="AH19" t="s">
        <v>17</v>
      </c>
      <c r="AI19">
        <f>SUM(P4:P300)</f>
        <v>116</v>
      </c>
      <c r="AJ19">
        <f t="shared" si="4"/>
        <v>19.92307692307692</v>
      </c>
    </row>
    <row r="20" spans="1:36" x14ac:dyDescent="0.25">
      <c r="A20" s="67" t="s">
        <v>57</v>
      </c>
      <c r="C20" s="67" t="s">
        <v>25</v>
      </c>
      <c r="D20" s="67" t="s">
        <v>58</v>
      </c>
      <c r="E20" s="67" t="s">
        <v>67</v>
      </c>
      <c r="F20" s="67" t="s">
        <v>68</v>
      </c>
      <c r="I20">
        <v>16</v>
      </c>
      <c r="N20">
        <v>2</v>
      </c>
      <c r="R20">
        <v>2</v>
      </c>
      <c r="T20">
        <f t="shared" si="2"/>
        <v>20</v>
      </c>
      <c r="U20">
        <f t="shared" si="3"/>
        <v>3</v>
      </c>
      <c r="AH20" t="s">
        <v>18</v>
      </c>
      <c r="AI20">
        <f>SUM(Q4:Q300)</f>
        <v>99</v>
      </c>
      <c r="AJ20">
        <f t="shared" si="4"/>
        <v>2.9230769230769198</v>
      </c>
    </row>
    <row r="21" spans="1:36" x14ac:dyDescent="0.25">
      <c r="A21" s="67" t="s">
        <v>57</v>
      </c>
      <c r="C21" s="67" t="s">
        <v>25</v>
      </c>
      <c r="D21" s="67" t="s">
        <v>58</v>
      </c>
      <c r="E21" s="67" t="s">
        <v>69</v>
      </c>
      <c r="F21" s="67" t="s">
        <v>70</v>
      </c>
      <c r="O21">
        <v>5</v>
      </c>
      <c r="P21">
        <v>15</v>
      </c>
      <c r="T21">
        <f t="shared" si="2"/>
        <v>20</v>
      </c>
      <c r="U21">
        <f t="shared" si="3"/>
        <v>2</v>
      </c>
      <c r="AH21" t="s">
        <v>19</v>
      </c>
      <c r="AI21">
        <f>SUM(R4:R300)</f>
        <v>99</v>
      </c>
      <c r="AJ21">
        <f t="shared" si="4"/>
        <v>2.9230769230769198</v>
      </c>
    </row>
    <row r="22" spans="1:36" x14ac:dyDescent="0.25">
      <c r="A22" s="67" t="s">
        <v>23</v>
      </c>
      <c r="B22" s="67" t="s">
        <v>71</v>
      </c>
      <c r="C22" s="67" t="s">
        <v>28</v>
      </c>
      <c r="D22" s="67" t="s">
        <v>25</v>
      </c>
      <c r="E22" s="67" t="s">
        <v>72</v>
      </c>
      <c r="F22" s="67" t="s">
        <v>73</v>
      </c>
      <c r="N22">
        <v>20</v>
      </c>
      <c r="T22">
        <f t="shared" si="2"/>
        <v>20</v>
      </c>
      <c r="U22">
        <f t="shared" si="3"/>
        <v>1</v>
      </c>
      <c r="AH22" t="s">
        <v>20</v>
      </c>
      <c r="AI22">
        <f>SUM(S4:S300)</f>
        <v>73</v>
      </c>
      <c r="AJ22">
        <f>AI22-$AI$23</f>
        <v>-23.07692307692308</v>
      </c>
    </row>
    <row r="23" spans="1:36" x14ac:dyDescent="0.25">
      <c r="A23" s="67" t="s">
        <v>23</v>
      </c>
      <c r="B23" s="67">
        <v>7</v>
      </c>
      <c r="C23" s="67" t="s">
        <v>28</v>
      </c>
      <c r="D23" s="67" t="s">
        <v>28</v>
      </c>
      <c r="E23" s="67" t="s">
        <v>74</v>
      </c>
      <c r="F23" s="67" t="s">
        <v>75</v>
      </c>
      <c r="K23">
        <v>20</v>
      </c>
      <c r="T23">
        <f t="shared" si="2"/>
        <v>20</v>
      </c>
      <c r="U23">
        <f t="shared" si="3"/>
        <v>1</v>
      </c>
      <c r="AI23">
        <f>SUM(AI10:AI22)/COUNT(AI10:AI22)</f>
        <v>96.07692307692308</v>
      </c>
    </row>
    <row r="24" spans="1:36" x14ac:dyDescent="0.25">
      <c r="A24" s="67" t="s">
        <v>23</v>
      </c>
      <c r="B24" s="67">
        <v>11</v>
      </c>
      <c r="C24" s="67" t="s">
        <v>28</v>
      </c>
      <c r="D24" s="67" t="s">
        <v>25</v>
      </c>
      <c r="E24" s="67" t="s">
        <v>76</v>
      </c>
      <c r="F24" s="67" t="s">
        <v>77</v>
      </c>
      <c r="G24">
        <v>20</v>
      </c>
      <c r="T24">
        <f t="shared" si="2"/>
        <v>20</v>
      </c>
      <c r="U24">
        <f t="shared" si="3"/>
        <v>1</v>
      </c>
    </row>
    <row r="25" spans="1:36" x14ac:dyDescent="0.25">
      <c r="A25" s="67" t="s">
        <v>23</v>
      </c>
      <c r="B25" s="67">
        <v>7</v>
      </c>
      <c r="C25" s="67" t="s">
        <v>24</v>
      </c>
      <c r="D25" s="67" t="s">
        <v>25</v>
      </c>
      <c r="E25" s="67" t="s">
        <v>78</v>
      </c>
      <c r="F25" s="67" t="s">
        <v>79</v>
      </c>
      <c r="P25">
        <v>20</v>
      </c>
      <c r="T25">
        <f t="shared" si="2"/>
        <v>20</v>
      </c>
      <c r="U25">
        <f t="shared" si="3"/>
        <v>1</v>
      </c>
    </row>
    <row r="26" spans="1:36" x14ac:dyDescent="0.25">
      <c r="A26" s="67" t="s">
        <v>23</v>
      </c>
      <c r="B26" s="67">
        <v>8</v>
      </c>
      <c r="C26" s="67" t="s">
        <v>28</v>
      </c>
      <c r="D26" s="67" t="s">
        <v>25</v>
      </c>
      <c r="E26" s="67" t="s">
        <v>80</v>
      </c>
      <c r="F26" s="67" t="s">
        <v>81</v>
      </c>
      <c r="R26">
        <v>20</v>
      </c>
      <c r="T26">
        <f t="shared" si="2"/>
        <v>20</v>
      </c>
      <c r="U26">
        <f t="shared" si="3"/>
        <v>1</v>
      </c>
    </row>
    <row r="27" spans="1:36" x14ac:dyDescent="0.25">
      <c r="A27" s="67" t="s">
        <v>57</v>
      </c>
      <c r="C27" s="67" t="s">
        <v>25</v>
      </c>
      <c r="D27" s="67" t="s">
        <v>58</v>
      </c>
      <c r="E27" s="67" t="s">
        <v>82</v>
      </c>
      <c r="F27" s="67" t="s">
        <v>83</v>
      </c>
      <c r="J27">
        <v>20</v>
      </c>
      <c r="T27">
        <f t="shared" si="2"/>
        <v>20</v>
      </c>
      <c r="U27">
        <f t="shared" si="3"/>
        <v>1</v>
      </c>
    </row>
    <row r="28" spans="1:36" x14ac:dyDescent="0.25">
      <c r="A28" s="67" t="s">
        <v>23</v>
      </c>
      <c r="B28" s="67">
        <v>7</v>
      </c>
      <c r="C28" s="67" t="s">
        <v>28</v>
      </c>
      <c r="D28" s="67" t="s">
        <v>28</v>
      </c>
      <c r="E28" s="67" t="s">
        <v>84</v>
      </c>
      <c r="F28" s="67" t="s">
        <v>85</v>
      </c>
      <c r="Q28">
        <v>20</v>
      </c>
      <c r="T28">
        <f t="shared" si="2"/>
        <v>20</v>
      </c>
      <c r="U28">
        <f t="shared" si="3"/>
        <v>1</v>
      </c>
    </row>
    <row r="29" spans="1:36" x14ac:dyDescent="0.25">
      <c r="A29" s="67" t="s">
        <v>23</v>
      </c>
      <c r="B29" s="67">
        <v>7</v>
      </c>
      <c r="C29" s="67" t="s">
        <v>28</v>
      </c>
      <c r="D29" s="67" t="s">
        <v>86</v>
      </c>
      <c r="E29" s="67" t="s">
        <v>87</v>
      </c>
      <c r="F29" s="67" t="s">
        <v>88</v>
      </c>
      <c r="K29">
        <v>20</v>
      </c>
      <c r="T29">
        <f t="shared" si="2"/>
        <v>20</v>
      </c>
      <c r="U29">
        <f t="shared" si="3"/>
        <v>1</v>
      </c>
    </row>
    <row r="30" spans="1:36" x14ac:dyDescent="0.25">
      <c r="A30" s="67" t="s">
        <v>23</v>
      </c>
      <c r="B30" s="67">
        <v>10</v>
      </c>
      <c r="C30" s="67" t="s">
        <v>89</v>
      </c>
      <c r="D30" s="67" t="s">
        <v>25</v>
      </c>
      <c r="E30" s="67" t="s">
        <v>90</v>
      </c>
      <c r="F30" s="67" t="s">
        <v>91</v>
      </c>
      <c r="N30">
        <v>20</v>
      </c>
      <c r="T30">
        <f t="shared" si="2"/>
        <v>20</v>
      </c>
      <c r="U30">
        <f t="shared" si="3"/>
        <v>1</v>
      </c>
    </row>
    <row r="31" spans="1:36" x14ac:dyDescent="0.25">
      <c r="A31" s="67" t="s">
        <v>23</v>
      </c>
      <c r="B31" s="67">
        <v>11</v>
      </c>
      <c r="C31" s="67" t="s">
        <v>28</v>
      </c>
      <c r="D31" s="67" t="s">
        <v>28</v>
      </c>
      <c r="E31" s="67" t="s">
        <v>92</v>
      </c>
      <c r="F31" s="67" t="s">
        <v>93</v>
      </c>
      <c r="I31">
        <v>20</v>
      </c>
      <c r="T31">
        <f t="shared" si="2"/>
        <v>20</v>
      </c>
      <c r="U31">
        <f t="shared" si="3"/>
        <v>1</v>
      </c>
    </row>
    <row r="32" spans="1:36" x14ac:dyDescent="0.25">
      <c r="A32" s="67" t="s">
        <v>23</v>
      </c>
      <c r="B32" s="67">
        <v>9</v>
      </c>
      <c r="C32" s="67" t="s">
        <v>28</v>
      </c>
      <c r="D32" s="67" t="s">
        <v>25</v>
      </c>
      <c r="E32" s="67" t="s">
        <v>94</v>
      </c>
      <c r="F32" s="67" t="s">
        <v>95</v>
      </c>
      <c r="R32">
        <v>20</v>
      </c>
      <c r="T32">
        <f t="shared" si="2"/>
        <v>20</v>
      </c>
      <c r="U32">
        <f t="shared" si="3"/>
        <v>1</v>
      </c>
    </row>
    <row r="33" spans="1:21" x14ac:dyDescent="0.25">
      <c r="A33" s="67" t="s">
        <v>23</v>
      </c>
      <c r="B33" s="67">
        <v>8</v>
      </c>
      <c r="C33" s="67" t="s">
        <v>28</v>
      </c>
      <c r="D33" s="67" t="s">
        <v>25</v>
      </c>
      <c r="E33" s="67" t="s">
        <v>96</v>
      </c>
      <c r="F33" s="67" t="s">
        <v>97</v>
      </c>
      <c r="J33">
        <v>1</v>
      </c>
      <c r="M33">
        <v>19</v>
      </c>
      <c r="T33">
        <f t="shared" si="2"/>
        <v>20</v>
      </c>
      <c r="U33">
        <f t="shared" si="3"/>
        <v>2</v>
      </c>
    </row>
    <row r="34" spans="1:21" x14ac:dyDescent="0.25">
      <c r="A34" s="67" t="s">
        <v>23</v>
      </c>
      <c r="B34" s="67">
        <v>10</v>
      </c>
      <c r="C34" s="67" t="s">
        <v>89</v>
      </c>
      <c r="E34" s="67" t="s">
        <v>98</v>
      </c>
      <c r="F34" s="67" t="s">
        <v>99</v>
      </c>
      <c r="G34">
        <v>20</v>
      </c>
      <c r="T34">
        <f t="shared" si="2"/>
        <v>20</v>
      </c>
      <c r="U34">
        <f t="shared" si="3"/>
        <v>1</v>
      </c>
    </row>
    <row r="35" spans="1:21" x14ac:dyDescent="0.25">
      <c r="A35" s="67" t="s">
        <v>23</v>
      </c>
      <c r="B35" s="67" t="s">
        <v>100</v>
      </c>
      <c r="C35" s="67" t="s">
        <v>28</v>
      </c>
      <c r="E35" s="67" t="s">
        <v>101</v>
      </c>
      <c r="F35" s="67" t="s">
        <v>102</v>
      </c>
      <c r="J35">
        <v>2</v>
      </c>
      <c r="Q35">
        <v>18</v>
      </c>
      <c r="T35">
        <f t="shared" si="2"/>
        <v>20</v>
      </c>
      <c r="U35">
        <f t="shared" si="3"/>
        <v>2</v>
      </c>
    </row>
    <row r="36" spans="1:21" x14ac:dyDescent="0.25">
      <c r="A36" s="67" t="s">
        <v>23</v>
      </c>
      <c r="B36" s="67">
        <v>11</v>
      </c>
      <c r="C36" s="67" t="s">
        <v>28</v>
      </c>
      <c r="E36" s="67" t="s">
        <v>103</v>
      </c>
      <c r="F36" s="67" t="s">
        <v>104</v>
      </c>
      <c r="O36">
        <v>20</v>
      </c>
      <c r="T36">
        <f t="shared" ref="T36:T67" si="5">SUM(G36:S36)</f>
        <v>20</v>
      </c>
      <c r="U36">
        <f t="shared" ref="U36:U67" si="6">COUNT(G36:S36)</f>
        <v>1</v>
      </c>
    </row>
    <row r="37" spans="1:21" x14ac:dyDescent="0.25">
      <c r="A37" s="67" t="s">
        <v>23</v>
      </c>
      <c r="B37" s="67">
        <v>7</v>
      </c>
      <c r="C37" s="67" t="s">
        <v>86</v>
      </c>
      <c r="E37" s="67" t="s">
        <v>105</v>
      </c>
      <c r="F37" s="67" t="s">
        <v>106</v>
      </c>
      <c r="L37">
        <v>20</v>
      </c>
      <c r="T37">
        <f t="shared" si="5"/>
        <v>20</v>
      </c>
      <c r="U37">
        <f t="shared" si="6"/>
        <v>1</v>
      </c>
    </row>
    <row r="38" spans="1:21" x14ac:dyDescent="0.25">
      <c r="A38" s="67" t="s">
        <v>23</v>
      </c>
      <c r="B38" s="67">
        <v>12</v>
      </c>
      <c r="C38" s="67" t="s">
        <v>28</v>
      </c>
      <c r="E38" s="67" t="s">
        <v>107</v>
      </c>
      <c r="F38" s="67" t="s">
        <v>108</v>
      </c>
      <c r="M38">
        <v>20</v>
      </c>
      <c r="T38">
        <f t="shared" si="5"/>
        <v>20</v>
      </c>
      <c r="U38">
        <f t="shared" si="6"/>
        <v>1</v>
      </c>
    </row>
    <row r="39" spans="1:21" x14ac:dyDescent="0.25">
      <c r="A39" s="67" t="s">
        <v>23</v>
      </c>
      <c r="B39" s="67">
        <v>8</v>
      </c>
      <c r="C39" s="67" t="s">
        <v>28</v>
      </c>
      <c r="E39" s="67" t="s">
        <v>109</v>
      </c>
      <c r="F39" s="67" t="s">
        <v>110</v>
      </c>
      <c r="R39">
        <v>20</v>
      </c>
      <c r="T39">
        <f t="shared" si="5"/>
        <v>20</v>
      </c>
      <c r="U39">
        <f t="shared" si="6"/>
        <v>1</v>
      </c>
    </row>
    <row r="40" spans="1:21" x14ac:dyDescent="0.25">
      <c r="A40" s="67" t="s">
        <v>23</v>
      </c>
      <c r="B40" s="67">
        <v>8</v>
      </c>
      <c r="C40" s="67" t="s">
        <v>28</v>
      </c>
      <c r="E40" s="67" t="s">
        <v>111</v>
      </c>
      <c r="F40" s="67" t="s">
        <v>112</v>
      </c>
      <c r="J40">
        <v>20</v>
      </c>
      <c r="T40">
        <f t="shared" si="5"/>
        <v>20</v>
      </c>
      <c r="U40">
        <f t="shared" si="6"/>
        <v>1</v>
      </c>
    </row>
    <row r="41" spans="1:21" x14ac:dyDescent="0.25">
      <c r="A41" s="67" t="s">
        <v>23</v>
      </c>
      <c r="B41" s="67">
        <v>11</v>
      </c>
      <c r="C41" s="67" t="s">
        <v>28</v>
      </c>
      <c r="E41" s="67" t="s">
        <v>113</v>
      </c>
      <c r="F41" s="67" t="s">
        <v>114</v>
      </c>
      <c r="H41">
        <v>20</v>
      </c>
      <c r="T41">
        <f t="shared" si="5"/>
        <v>20</v>
      </c>
      <c r="U41">
        <f t="shared" si="6"/>
        <v>1</v>
      </c>
    </row>
    <row r="42" spans="1:21" x14ac:dyDescent="0.25">
      <c r="A42" s="67" t="s">
        <v>23</v>
      </c>
      <c r="B42" s="67">
        <v>11</v>
      </c>
      <c r="C42" s="67" t="s">
        <v>28</v>
      </c>
      <c r="E42" s="67" t="s">
        <v>115</v>
      </c>
      <c r="F42" s="67" t="s">
        <v>116</v>
      </c>
      <c r="J42">
        <v>1</v>
      </c>
      <c r="Q42">
        <v>19</v>
      </c>
      <c r="T42">
        <f t="shared" si="5"/>
        <v>20</v>
      </c>
      <c r="U42">
        <f t="shared" si="6"/>
        <v>2</v>
      </c>
    </row>
    <row r="43" spans="1:21" x14ac:dyDescent="0.25">
      <c r="A43" s="67" t="s">
        <v>23</v>
      </c>
      <c r="C43" s="67" t="s">
        <v>28</v>
      </c>
      <c r="E43" s="67" t="s">
        <v>117</v>
      </c>
      <c r="F43" s="67" t="s">
        <v>118</v>
      </c>
      <c r="H43">
        <v>20</v>
      </c>
      <c r="T43">
        <f t="shared" si="5"/>
        <v>20</v>
      </c>
      <c r="U43">
        <f t="shared" si="6"/>
        <v>1</v>
      </c>
    </row>
    <row r="44" spans="1:21" x14ac:dyDescent="0.25">
      <c r="A44" s="67" t="s">
        <v>23</v>
      </c>
      <c r="C44" s="67" t="s">
        <v>119</v>
      </c>
      <c r="E44" s="67" t="s">
        <v>120</v>
      </c>
      <c r="F44" s="67" t="s">
        <v>121</v>
      </c>
      <c r="G44">
        <v>19</v>
      </c>
      <c r="J44">
        <v>1</v>
      </c>
      <c r="T44">
        <f t="shared" si="5"/>
        <v>20</v>
      </c>
      <c r="U44">
        <f t="shared" si="6"/>
        <v>2</v>
      </c>
    </row>
    <row r="45" spans="1:21" x14ac:dyDescent="0.25">
      <c r="A45" s="67" t="s">
        <v>23</v>
      </c>
      <c r="B45" s="67" t="s">
        <v>122</v>
      </c>
      <c r="C45" s="67" t="s">
        <v>28</v>
      </c>
      <c r="E45" s="67" t="s">
        <v>123</v>
      </c>
      <c r="F45" s="67" t="s">
        <v>124</v>
      </c>
      <c r="P45">
        <v>20</v>
      </c>
      <c r="T45">
        <f t="shared" si="5"/>
        <v>20</v>
      </c>
      <c r="U45">
        <f t="shared" si="6"/>
        <v>1</v>
      </c>
    </row>
    <row r="46" spans="1:21" x14ac:dyDescent="0.25">
      <c r="A46" s="67" t="s">
        <v>23</v>
      </c>
      <c r="B46" s="67">
        <v>12</v>
      </c>
      <c r="C46" s="67" t="s">
        <v>28</v>
      </c>
      <c r="E46" s="67" t="s">
        <v>130</v>
      </c>
      <c r="F46" s="67" t="s">
        <v>131</v>
      </c>
      <c r="L46">
        <v>20</v>
      </c>
      <c r="T46">
        <f t="shared" si="5"/>
        <v>20</v>
      </c>
      <c r="U46">
        <f t="shared" si="6"/>
        <v>1</v>
      </c>
    </row>
    <row r="47" spans="1:21" x14ac:dyDescent="0.25">
      <c r="A47" s="67" t="s">
        <v>23</v>
      </c>
      <c r="B47" s="67">
        <v>11</v>
      </c>
      <c r="C47" s="67" t="s">
        <v>28</v>
      </c>
      <c r="E47" s="67" t="s">
        <v>134</v>
      </c>
      <c r="F47" s="67" t="s">
        <v>135</v>
      </c>
      <c r="Q47">
        <v>20</v>
      </c>
      <c r="T47">
        <f t="shared" si="5"/>
        <v>20</v>
      </c>
      <c r="U47">
        <f t="shared" si="6"/>
        <v>1</v>
      </c>
    </row>
    <row r="48" spans="1:21" x14ac:dyDescent="0.25">
      <c r="A48" s="67" t="s">
        <v>23</v>
      </c>
      <c r="B48" s="67">
        <v>11</v>
      </c>
      <c r="C48" s="67" t="s">
        <v>28</v>
      </c>
      <c r="E48" s="67" t="s">
        <v>132</v>
      </c>
      <c r="F48" s="67" t="s">
        <v>133</v>
      </c>
      <c r="M48">
        <v>20</v>
      </c>
      <c r="T48">
        <f t="shared" si="5"/>
        <v>20</v>
      </c>
      <c r="U48">
        <f t="shared" si="6"/>
        <v>1</v>
      </c>
    </row>
    <row r="49" spans="1:21" x14ac:dyDescent="0.25">
      <c r="A49" s="67" t="s">
        <v>23</v>
      </c>
      <c r="B49" s="67">
        <v>8</v>
      </c>
      <c r="C49" s="67" t="s">
        <v>28</v>
      </c>
      <c r="E49" s="67" t="s">
        <v>136</v>
      </c>
      <c r="F49" s="67" t="s">
        <v>137</v>
      </c>
      <c r="P49">
        <v>20</v>
      </c>
      <c r="T49">
        <f t="shared" si="5"/>
        <v>20</v>
      </c>
      <c r="U49">
        <f t="shared" si="6"/>
        <v>1</v>
      </c>
    </row>
    <row r="50" spans="1:21" x14ac:dyDescent="0.25">
      <c r="A50" s="67" t="s">
        <v>23</v>
      </c>
      <c r="B50" s="67">
        <v>10</v>
      </c>
      <c r="C50" s="67" t="s">
        <v>28</v>
      </c>
      <c r="E50" s="67" t="s">
        <v>146</v>
      </c>
      <c r="F50" s="67" t="s">
        <v>147</v>
      </c>
      <c r="J50">
        <v>20</v>
      </c>
      <c r="T50">
        <f t="shared" si="5"/>
        <v>20</v>
      </c>
      <c r="U50">
        <f t="shared" si="6"/>
        <v>1</v>
      </c>
    </row>
    <row r="51" spans="1:21" x14ac:dyDescent="0.25">
      <c r="A51" s="67" t="s">
        <v>23</v>
      </c>
      <c r="B51" s="67">
        <v>8</v>
      </c>
      <c r="C51" s="67" t="s">
        <v>28</v>
      </c>
      <c r="E51" s="67" t="s">
        <v>140</v>
      </c>
      <c r="F51" s="67" t="s">
        <v>141</v>
      </c>
      <c r="N51">
        <v>20</v>
      </c>
      <c r="T51">
        <f t="shared" si="5"/>
        <v>20</v>
      </c>
      <c r="U51">
        <f t="shared" si="6"/>
        <v>1</v>
      </c>
    </row>
    <row r="52" spans="1:21" x14ac:dyDescent="0.25">
      <c r="A52" s="67" t="s">
        <v>23</v>
      </c>
      <c r="C52" s="67" t="s">
        <v>28</v>
      </c>
      <c r="E52" s="67" t="s">
        <v>138</v>
      </c>
      <c r="F52" s="67" t="s">
        <v>139</v>
      </c>
      <c r="H52">
        <v>20</v>
      </c>
      <c r="T52">
        <f t="shared" si="5"/>
        <v>20</v>
      </c>
      <c r="U52">
        <f t="shared" si="6"/>
        <v>1</v>
      </c>
    </row>
    <row r="53" spans="1:21" x14ac:dyDescent="0.25">
      <c r="A53" s="67" t="s">
        <v>23</v>
      </c>
      <c r="B53" s="67">
        <v>10</v>
      </c>
      <c r="C53" s="67" t="s">
        <v>28</v>
      </c>
      <c r="E53" s="67" t="s">
        <v>152</v>
      </c>
      <c r="F53" s="67" t="s">
        <v>153</v>
      </c>
      <c r="S53">
        <v>20</v>
      </c>
      <c r="T53">
        <f t="shared" si="5"/>
        <v>20</v>
      </c>
      <c r="U53">
        <f t="shared" si="6"/>
        <v>1</v>
      </c>
    </row>
    <row r="54" spans="1:21" x14ac:dyDescent="0.25">
      <c r="A54" s="67" t="s">
        <v>23</v>
      </c>
      <c r="B54" s="67">
        <v>12</v>
      </c>
      <c r="C54" s="67" t="s">
        <v>28</v>
      </c>
      <c r="E54" s="67" t="s">
        <v>162</v>
      </c>
      <c r="F54" s="67" t="s">
        <v>163</v>
      </c>
      <c r="L54">
        <v>20</v>
      </c>
      <c r="T54">
        <f t="shared" si="5"/>
        <v>20</v>
      </c>
      <c r="U54">
        <f t="shared" si="6"/>
        <v>1</v>
      </c>
    </row>
    <row r="55" spans="1:21" x14ac:dyDescent="0.25">
      <c r="A55" s="67" t="s">
        <v>57</v>
      </c>
      <c r="C55" s="67" t="s">
        <v>25</v>
      </c>
      <c r="D55" s="67" t="s">
        <v>58</v>
      </c>
      <c r="E55" s="67" t="s">
        <v>125</v>
      </c>
      <c r="F55" s="67" t="s">
        <v>126</v>
      </c>
      <c r="G55">
        <v>17</v>
      </c>
      <c r="T55">
        <f t="shared" si="5"/>
        <v>17</v>
      </c>
      <c r="U55">
        <f t="shared" si="6"/>
        <v>1</v>
      </c>
    </row>
    <row r="56" spans="1:21" x14ac:dyDescent="0.25">
      <c r="A56" s="67" t="s">
        <v>23</v>
      </c>
      <c r="B56" s="67">
        <v>4</v>
      </c>
      <c r="C56" s="67" t="s">
        <v>86</v>
      </c>
      <c r="D56" s="67" t="s">
        <v>86</v>
      </c>
      <c r="E56" s="67" t="s">
        <v>127</v>
      </c>
      <c r="F56" s="67" t="s">
        <v>68</v>
      </c>
      <c r="I56">
        <v>13</v>
      </c>
      <c r="N56">
        <v>2</v>
      </c>
      <c r="R56">
        <v>2</v>
      </c>
      <c r="T56">
        <f t="shared" si="5"/>
        <v>17</v>
      </c>
      <c r="U56">
        <f t="shared" si="6"/>
        <v>3</v>
      </c>
    </row>
    <row r="57" spans="1:21" x14ac:dyDescent="0.25">
      <c r="A57" s="67" t="s">
        <v>23</v>
      </c>
      <c r="C57" s="67" t="s">
        <v>28</v>
      </c>
      <c r="E57" s="67" t="s">
        <v>150</v>
      </c>
      <c r="F57" s="67" t="s">
        <v>151</v>
      </c>
      <c r="K57">
        <v>17</v>
      </c>
      <c r="T57">
        <f t="shared" si="5"/>
        <v>17</v>
      </c>
      <c r="U57">
        <f t="shared" si="6"/>
        <v>1</v>
      </c>
    </row>
    <row r="58" spans="1:21" x14ac:dyDescent="0.25">
      <c r="A58" s="67" t="s">
        <v>57</v>
      </c>
      <c r="C58" s="67" t="s">
        <v>25</v>
      </c>
      <c r="E58" s="67" t="s">
        <v>128</v>
      </c>
      <c r="F58" s="67" t="s">
        <v>129</v>
      </c>
      <c r="H58">
        <v>16</v>
      </c>
      <c r="T58">
        <f t="shared" si="5"/>
        <v>16</v>
      </c>
      <c r="U58">
        <f t="shared" si="6"/>
        <v>1</v>
      </c>
    </row>
    <row r="59" spans="1:21" x14ac:dyDescent="0.25">
      <c r="A59" s="67" t="s">
        <v>23</v>
      </c>
      <c r="B59" s="67">
        <v>7</v>
      </c>
      <c r="C59" s="67" t="s">
        <v>28</v>
      </c>
      <c r="E59" s="67" t="s">
        <v>144</v>
      </c>
      <c r="F59" s="67" t="s">
        <v>145</v>
      </c>
      <c r="O59">
        <v>16</v>
      </c>
      <c r="T59">
        <f t="shared" si="5"/>
        <v>16</v>
      </c>
      <c r="U59">
        <f t="shared" si="6"/>
        <v>1</v>
      </c>
    </row>
    <row r="60" spans="1:21" x14ac:dyDescent="0.25">
      <c r="A60" s="67" t="s">
        <v>23</v>
      </c>
      <c r="B60" s="67">
        <v>12</v>
      </c>
      <c r="C60" s="67" t="s">
        <v>28</v>
      </c>
      <c r="E60" s="67" t="s">
        <v>142</v>
      </c>
      <c r="F60" s="67" t="s">
        <v>143</v>
      </c>
      <c r="K60">
        <v>12</v>
      </c>
      <c r="T60">
        <f t="shared" si="5"/>
        <v>12</v>
      </c>
      <c r="U60">
        <f t="shared" si="6"/>
        <v>1</v>
      </c>
    </row>
    <row r="61" spans="1:21" x14ac:dyDescent="0.25">
      <c r="A61" s="67" t="s">
        <v>23</v>
      </c>
      <c r="B61" s="67">
        <v>5</v>
      </c>
      <c r="C61" s="67" t="s">
        <v>28</v>
      </c>
      <c r="E61" s="67" t="s">
        <v>148</v>
      </c>
      <c r="F61" s="67" t="s">
        <v>149</v>
      </c>
      <c r="N61">
        <v>12</v>
      </c>
      <c r="T61">
        <f t="shared" si="5"/>
        <v>12</v>
      </c>
      <c r="U61">
        <f t="shared" si="6"/>
        <v>1</v>
      </c>
    </row>
    <row r="62" spans="1:21" x14ac:dyDescent="0.25">
      <c r="A62" s="67" t="s">
        <v>23</v>
      </c>
      <c r="C62" s="67" t="s">
        <v>28</v>
      </c>
      <c r="E62" s="67" t="s">
        <v>156</v>
      </c>
      <c r="F62" s="67" t="s">
        <v>157</v>
      </c>
      <c r="M62">
        <v>12</v>
      </c>
      <c r="T62">
        <f t="shared" si="5"/>
        <v>12</v>
      </c>
      <c r="U62">
        <f t="shared" si="6"/>
        <v>1</v>
      </c>
    </row>
    <row r="63" spans="1:21" x14ac:dyDescent="0.25">
      <c r="A63" s="67" t="s">
        <v>23</v>
      </c>
      <c r="C63" s="67" t="s">
        <v>28</v>
      </c>
      <c r="E63" s="67" t="s">
        <v>154</v>
      </c>
      <c r="F63" s="67" t="s">
        <v>155</v>
      </c>
      <c r="I63">
        <v>12</v>
      </c>
      <c r="T63">
        <f t="shared" si="5"/>
        <v>12</v>
      </c>
      <c r="U63">
        <f t="shared" si="6"/>
        <v>1</v>
      </c>
    </row>
    <row r="64" spans="1:21" x14ac:dyDescent="0.25">
      <c r="A64" s="67" t="s">
        <v>23</v>
      </c>
      <c r="C64" s="67" t="s">
        <v>28</v>
      </c>
      <c r="E64" s="67" t="s">
        <v>160</v>
      </c>
      <c r="F64" s="67" t="s">
        <v>161</v>
      </c>
      <c r="R64">
        <v>12</v>
      </c>
      <c r="T64">
        <f t="shared" si="5"/>
        <v>12</v>
      </c>
      <c r="U64">
        <f t="shared" si="6"/>
        <v>1</v>
      </c>
    </row>
    <row r="65" spans="1:21" x14ac:dyDescent="0.25">
      <c r="A65" s="67" t="s">
        <v>23</v>
      </c>
      <c r="B65" s="67">
        <v>11</v>
      </c>
      <c r="C65" s="67" t="s">
        <v>28</v>
      </c>
      <c r="E65" s="67" t="s">
        <v>158</v>
      </c>
      <c r="F65" s="67" t="s">
        <v>159</v>
      </c>
      <c r="K65">
        <v>14</v>
      </c>
      <c r="T65">
        <f t="shared" si="5"/>
        <v>14</v>
      </c>
      <c r="U65">
        <f t="shared" si="6"/>
        <v>1</v>
      </c>
    </row>
    <row r="66" spans="1:21" x14ac:dyDescent="0.25">
      <c r="A66" s="67" t="s">
        <v>23</v>
      </c>
      <c r="E66" s="67" t="s">
        <v>183</v>
      </c>
      <c r="F66" s="67" t="s">
        <v>184</v>
      </c>
      <c r="I66">
        <v>11</v>
      </c>
      <c r="T66">
        <f t="shared" si="5"/>
        <v>11</v>
      </c>
      <c r="U66">
        <f t="shared" si="6"/>
        <v>1</v>
      </c>
    </row>
    <row r="67" spans="1:21" x14ac:dyDescent="0.25">
      <c r="A67" s="67" t="s">
        <v>23</v>
      </c>
      <c r="C67" s="67" t="s">
        <v>28</v>
      </c>
      <c r="E67" s="67" t="s">
        <v>164</v>
      </c>
      <c r="F67" s="67" t="s">
        <v>165</v>
      </c>
      <c r="O67">
        <v>11</v>
      </c>
      <c r="T67">
        <f t="shared" si="5"/>
        <v>11</v>
      </c>
      <c r="U67">
        <f t="shared" si="6"/>
        <v>1</v>
      </c>
    </row>
    <row r="68" spans="1:21" x14ac:dyDescent="0.25">
      <c r="A68" s="67" t="s">
        <v>23</v>
      </c>
      <c r="E68" s="67" t="s">
        <v>181</v>
      </c>
      <c r="F68" s="67" t="s">
        <v>182</v>
      </c>
      <c r="H68">
        <v>10</v>
      </c>
      <c r="T68">
        <f t="shared" ref="T68:T99" si="7">SUM(G68:S68)</f>
        <v>10</v>
      </c>
      <c r="U68">
        <f t="shared" ref="U68:U101" si="8">COUNT(G68:S68)</f>
        <v>1</v>
      </c>
    </row>
    <row r="69" spans="1:21" x14ac:dyDescent="0.25">
      <c r="A69" s="67" t="s">
        <v>23</v>
      </c>
      <c r="E69" s="67" t="s">
        <v>166</v>
      </c>
      <c r="F69" s="67" t="s">
        <v>167</v>
      </c>
      <c r="S69">
        <v>5</v>
      </c>
      <c r="T69">
        <f t="shared" si="7"/>
        <v>5</v>
      </c>
      <c r="U69">
        <f t="shared" si="8"/>
        <v>1</v>
      </c>
    </row>
    <row r="70" spans="1:21" x14ac:dyDescent="0.25">
      <c r="A70" s="67" t="s">
        <v>4165</v>
      </c>
      <c r="E70" s="67" t="s">
        <v>4166</v>
      </c>
      <c r="F70" s="67" t="s">
        <v>211</v>
      </c>
      <c r="P70">
        <v>5</v>
      </c>
      <c r="T70">
        <f t="shared" si="7"/>
        <v>5</v>
      </c>
      <c r="U70">
        <f t="shared" si="8"/>
        <v>1</v>
      </c>
    </row>
    <row r="71" spans="1:21" x14ac:dyDescent="0.25">
      <c r="A71" s="67" t="s">
        <v>4165</v>
      </c>
      <c r="E71" s="67" t="s">
        <v>4167</v>
      </c>
      <c r="F71" s="67" t="s">
        <v>254</v>
      </c>
      <c r="J71">
        <v>4</v>
      </c>
      <c r="T71">
        <f t="shared" si="7"/>
        <v>4</v>
      </c>
      <c r="U71">
        <f t="shared" si="8"/>
        <v>1</v>
      </c>
    </row>
    <row r="72" spans="1:21" x14ac:dyDescent="0.25">
      <c r="A72" s="67" t="s">
        <v>168</v>
      </c>
      <c r="B72" s="67" t="s">
        <v>169</v>
      </c>
      <c r="E72" s="67" t="s">
        <v>170</v>
      </c>
      <c r="F72" s="67" t="s">
        <v>171</v>
      </c>
      <c r="S72">
        <v>3</v>
      </c>
      <c r="T72">
        <f t="shared" si="7"/>
        <v>3</v>
      </c>
      <c r="U72">
        <f t="shared" si="8"/>
        <v>1</v>
      </c>
    </row>
    <row r="73" spans="1:21" x14ac:dyDescent="0.25">
      <c r="A73" s="67" t="s">
        <v>23</v>
      </c>
      <c r="E73" s="67" t="s">
        <v>172</v>
      </c>
      <c r="F73" s="67" t="s">
        <v>173</v>
      </c>
      <c r="K73">
        <v>3</v>
      </c>
      <c r="T73">
        <f t="shared" si="7"/>
        <v>3</v>
      </c>
      <c r="U73">
        <f t="shared" si="8"/>
        <v>1</v>
      </c>
    </row>
    <row r="74" spans="1:21" x14ac:dyDescent="0.25">
      <c r="A74" s="67" t="s">
        <v>23</v>
      </c>
      <c r="E74" s="67" t="s">
        <v>174</v>
      </c>
      <c r="F74" s="67" t="s">
        <v>175</v>
      </c>
      <c r="R74">
        <v>3</v>
      </c>
      <c r="T74">
        <f t="shared" si="7"/>
        <v>3</v>
      </c>
      <c r="U74">
        <f t="shared" si="8"/>
        <v>1</v>
      </c>
    </row>
    <row r="75" spans="1:21" x14ac:dyDescent="0.25">
      <c r="A75" s="67" t="s">
        <v>23</v>
      </c>
      <c r="B75" s="67">
        <v>13</v>
      </c>
      <c r="E75" s="67" t="s">
        <v>176</v>
      </c>
      <c r="F75" s="67" t="s">
        <v>177</v>
      </c>
      <c r="M75">
        <v>3</v>
      </c>
      <c r="T75">
        <f t="shared" si="7"/>
        <v>3</v>
      </c>
      <c r="U75">
        <f t="shared" si="8"/>
        <v>1</v>
      </c>
    </row>
    <row r="76" spans="1:21" x14ac:dyDescent="0.25">
      <c r="A76" s="67" t="s">
        <v>23</v>
      </c>
      <c r="E76" s="67" t="s">
        <v>178</v>
      </c>
      <c r="L76">
        <v>3</v>
      </c>
      <c r="T76">
        <f t="shared" si="7"/>
        <v>3</v>
      </c>
      <c r="U76">
        <f t="shared" si="8"/>
        <v>1</v>
      </c>
    </row>
    <row r="77" spans="1:21" x14ac:dyDescent="0.25">
      <c r="A77" s="67" t="s">
        <v>23</v>
      </c>
      <c r="E77" s="67" t="s">
        <v>179</v>
      </c>
      <c r="F77" s="67" t="s">
        <v>180</v>
      </c>
      <c r="P77">
        <v>3</v>
      </c>
      <c r="T77">
        <f t="shared" si="7"/>
        <v>3</v>
      </c>
      <c r="U77">
        <f t="shared" si="8"/>
        <v>1</v>
      </c>
    </row>
    <row r="78" spans="1:21" x14ac:dyDescent="0.25">
      <c r="A78" s="67" t="s">
        <v>23</v>
      </c>
      <c r="E78" s="73" t="s">
        <v>4184</v>
      </c>
      <c r="F78" s="67" t="s">
        <v>4185</v>
      </c>
      <c r="S78">
        <v>3</v>
      </c>
      <c r="T78">
        <f t="shared" si="7"/>
        <v>3</v>
      </c>
      <c r="U78">
        <f t="shared" si="8"/>
        <v>1</v>
      </c>
    </row>
    <row r="79" spans="1:21" x14ac:dyDescent="0.25">
      <c r="A79" s="67" t="s">
        <v>4165</v>
      </c>
      <c r="E79" s="67" t="s">
        <v>4186</v>
      </c>
      <c r="F79" s="67" t="s">
        <v>4198</v>
      </c>
      <c r="I79">
        <v>3</v>
      </c>
      <c r="T79">
        <f t="shared" si="7"/>
        <v>3</v>
      </c>
      <c r="U79">
        <f t="shared" si="8"/>
        <v>1</v>
      </c>
    </row>
    <row r="80" spans="1:21" x14ac:dyDescent="0.25">
      <c r="A80" s="67" t="s">
        <v>4165</v>
      </c>
      <c r="E80" s="67" t="s">
        <v>4168</v>
      </c>
      <c r="F80" s="67" t="s">
        <v>4169</v>
      </c>
      <c r="Q80">
        <v>2</v>
      </c>
      <c r="T80">
        <f t="shared" si="7"/>
        <v>2</v>
      </c>
      <c r="U80">
        <f t="shared" si="8"/>
        <v>1</v>
      </c>
    </row>
    <row r="81" spans="1:21" x14ac:dyDescent="0.25">
      <c r="A81" s="67" t="s">
        <v>23</v>
      </c>
      <c r="E81" s="67" t="s">
        <v>185</v>
      </c>
      <c r="T81">
        <f t="shared" si="7"/>
        <v>0</v>
      </c>
      <c r="U81">
        <f t="shared" si="8"/>
        <v>0</v>
      </c>
    </row>
    <row r="82" spans="1:21" x14ac:dyDescent="0.25">
      <c r="T82">
        <f t="shared" si="7"/>
        <v>0</v>
      </c>
      <c r="U82">
        <f t="shared" si="8"/>
        <v>0</v>
      </c>
    </row>
    <row r="83" spans="1:21" x14ac:dyDescent="0.25">
      <c r="T83">
        <f t="shared" si="7"/>
        <v>0</v>
      </c>
      <c r="U83">
        <f t="shared" si="8"/>
        <v>0</v>
      </c>
    </row>
    <row r="84" spans="1:21" x14ac:dyDescent="0.25">
      <c r="T84">
        <f t="shared" si="7"/>
        <v>0</v>
      </c>
      <c r="U84">
        <f t="shared" si="8"/>
        <v>0</v>
      </c>
    </row>
    <row r="85" spans="1:21" x14ac:dyDescent="0.25">
      <c r="T85">
        <f t="shared" si="7"/>
        <v>0</v>
      </c>
      <c r="U85">
        <f t="shared" si="8"/>
        <v>0</v>
      </c>
    </row>
    <row r="86" spans="1:21" x14ac:dyDescent="0.25">
      <c r="T86">
        <f t="shared" si="7"/>
        <v>0</v>
      </c>
      <c r="U86">
        <f t="shared" si="8"/>
        <v>0</v>
      </c>
    </row>
    <row r="87" spans="1:21" x14ac:dyDescent="0.25">
      <c r="T87">
        <f t="shared" si="7"/>
        <v>0</v>
      </c>
      <c r="U87">
        <f t="shared" si="8"/>
        <v>0</v>
      </c>
    </row>
    <row r="88" spans="1:21" x14ac:dyDescent="0.25">
      <c r="T88">
        <f t="shared" si="7"/>
        <v>0</v>
      </c>
      <c r="U88">
        <f t="shared" si="8"/>
        <v>0</v>
      </c>
    </row>
    <row r="89" spans="1:21" x14ac:dyDescent="0.25">
      <c r="T89">
        <f t="shared" si="7"/>
        <v>0</v>
      </c>
      <c r="U89">
        <f t="shared" si="8"/>
        <v>0</v>
      </c>
    </row>
    <row r="90" spans="1:21" x14ac:dyDescent="0.25">
      <c r="T90">
        <f t="shared" si="7"/>
        <v>0</v>
      </c>
      <c r="U90">
        <f t="shared" si="8"/>
        <v>0</v>
      </c>
    </row>
    <row r="91" spans="1:21" x14ac:dyDescent="0.25">
      <c r="T91">
        <f t="shared" si="7"/>
        <v>0</v>
      </c>
      <c r="U91">
        <f t="shared" si="8"/>
        <v>0</v>
      </c>
    </row>
    <row r="92" spans="1:21" x14ac:dyDescent="0.25">
      <c r="T92">
        <f t="shared" si="7"/>
        <v>0</v>
      </c>
      <c r="U92">
        <f t="shared" si="8"/>
        <v>0</v>
      </c>
    </row>
    <row r="93" spans="1:21" x14ac:dyDescent="0.25">
      <c r="T93">
        <f t="shared" si="7"/>
        <v>0</v>
      </c>
      <c r="U93">
        <f t="shared" si="8"/>
        <v>0</v>
      </c>
    </row>
    <row r="94" spans="1:21" x14ac:dyDescent="0.25">
      <c r="T94">
        <f t="shared" si="7"/>
        <v>0</v>
      </c>
      <c r="U94">
        <f t="shared" si="8"/>
        <v>0</v>
      </c>
    </row>
    <row r="95" spans="1:21" x14ac:dyDescent="0.25">
      <c r="T95">
        <f t="shared" si="7"/>
        <v>0</v>
      </c>
      <c r="U95">
        <f t="shared" si="8"/>
        <v>0</v>
      </c>
    </row>
    <row r="96" spans="1:21" x14ac:dyDescent="0.25">
      <c r="T96">
        <f t="shared" si="7"/>
        <v>0</v>
      </c>
      <c r="U96">
        <f t="shared" si="8"/>
        <v>0</v>
      </c>
    </row>
    <row r="97" spans="20:21" x14ac:dyDescent="0.25">
      <c r="T97">
        <f t="shared" si="7"/>
        <v>0</v>
      </c>
      <c r="U97">
        <f t="shared" si="8"/>
        <v>0</v>
      </c>
    </row>
    <row r="98" spans="20:21" x14ac:dyDescent="0.25">
      <c r="T98">
        <f t="shared" si="7"/>
        <v>0</v>
      </c>
      <c r="U98">
        <f t="shared" si="8"/>
        <v>0</v>
      </c>
    </row>
    <row r="99" spans="20:21" x14ac:dyDescent="0.25">
      <c r="T99">
        <f t="shared" si="7"/>
        <v>0</v>
      </c>
      <c r="U99">
        <f t="shared" si="8"/>
        <v>0</v>
      </c>
    </row>
    <row r="100" spans="20:21" x14ac:dyDescent="0.25">
      <c r="T100">
        <f t="shared" ref="T100:T101" si="9">SUM(G100:S100)</f>
        <v>0</v>
      </c>
      <c r="U100">
        <f t="shared" si="8"/>
        <v>0</v>
      </c>
    </row>
    <row r="101" spans="20:21" x14ac:dyDescent="0.25">
      <c r="T101">
        <f t="shared" si="9"/>
        <v>0</v>
      </c>
      <c r="U101">
        <f t="shared" si="8"/>
        <v>0</v>
      </c>
    </row>
  </sheetData>
  <autoFilter ref="A3:X3" xr:uid="{00000000-0001-0000-0000-000000000000}">
    <sortState xmlns:xlrd2="http://schemas.microsoft.com/office/spreadsheetml/2017/richdata2" ref="A4:X101">
      <sortCondition descending="1" ref="T3"/>
    </sortState>
  </autoFilter>
  <sortState xmlns:xlrd2="http://schemas.microsoft.com/office/spreadsheetml/2017/richdata2" ref="E3:T23">
    <sortCondition descending="1" ref="T3"/>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F3F26-5A76-4206-8799-8360980256D2}">
  <dimension ref="A1:M22"/>
  <sheetViews>
    <sheetView workbookViewId="0">
      <selection activeCell="C7" sqref="C7"/>
    </sheetView>
  </sheetViews>
  <sheetFormatPr defaultRowHeight="15" x14ac:dyDescent="0.25"/>
  <cols>
    <col min="1" max="1" width="18.28515625" bestFit="1" customWidth="1"/>
    <col min="2" max="2" width="28.42578125" bestFit="1" customWidth="1"/>
    <col min="3" max="3" width="20" bestFit="1" customWidth="1"/>
    <col min="4" max="4" width="18.5703125" bestFit="1" customWidth="1"/>
    <col min="5" max="5" width="21" bestFit="1" customWidth="1"/>
    <col min="6" max="6" width="20" bestFit="1" customWidth="1"/>
    <col min="7" max="7" width="27.5703125" bestFit="1" customWidth="1"/>
    <col min="8" max="8" width="20" bestFit="1" customWidth="1"/>
    <col min="9" max="9" width="17.85546875" bestFit="1" customWidth="1"/>
    <col min="10" max="10" width="18.7109375" bestFit="1" customWidth="1"/>
    <col min="11" max="11" width="17.85546875" bestFit="1" customWidth="1"/>
    <col min="12" max="12" width="20.28515625" bestFit="1" customWidth="1"/>
    <col min="13" max="13" width="22.85546875" bestFit="1" customWidth="1"/>
  </cols>
  <sheetData>
    <row r="1" spans="1:13" x14ac:dyDescent="0.25">
      <c r="A1" s="158">
        <v>4</v>
      </c>
      <c r="B1" s="158">
        <v>6</v>
      </c>
      <c r="C1" s="158">
        <v>4</v>
      </c>
      <c r="D1" s="158">
        <v>7</v>
      </c>
      <c r="E1" s="158">
        <v>6</v>
      </c>
      <c r="F1" s="158">
        <v>6</v>
      </c>
      <c r="G1" s="158">
        <v>6</v>
      </c>
      <c r="H1" s="158">
        <v>5</v>
      </c>
      <c r="I1" s="158">
        <v>5</v>
      </c>
      <c r="J1" s="158">
        <v>5</v>
      </c>
      <c r="K1" s="158">
        <v>5</v>
      </c>
      <c r="L1" s="158">
        <v>4</v>
      </c>
      <c r="M1" s="158">
        <v>4</v>
      </c>
    </row>
    <row r="2" spans="1:13" x14ac:dyDescent="0.25">
      <c r="A2" s="148">
        <f t="shared" ref="A2:M2" si="0">COUNTA(A5:A23)</f>
        <v>4</v>
      </c>
      <c r="B2" s="148">
        <f t="shared" si="0"/>
        <v>10</v>
      </c>
      <c r="C2" s="148">
        <f t="shared" si="0"/>
        <v>8</v>
      </c>
      <c r="D2" s="148">
        <f t="shared" si="0"/>
        <v>14</v>
      </c>
      <c r="E2" s="148">
        <f t="shared" si="0"/>
        <v>8</v>
      </c>
      <c r="F2" s="148">
        <f t="shared" si="0"/>
        <v>9</v>
      </c>
      <c r="G2" s="148">
        <f t="shared" si="0"/>
        <v>11</v>
      </c>
      <c r="H2" s="148">
        <f t="shared" si="0"/>
        <v>9</v>
      </c>
      <c r="I2" s="148">
        <f t="shared" si="0"/>
        <v>8</v>
      </c>
      <c r="J2" s="148">
        <f t="shared" si="0"/>
        <v>9</v>
      </c>
      <c r="K2" s="148">
        <f t="shared" si="0"/>
        <v>7</v>
      </c>
      <c r="L2" s="148">
        <f t="shared" si="0"/>
        <v>8</v>
      </c>
      <c r="M2" s="148">
        <f t="shared" si="0"/>
        <v>11</v>
      </c>
    </row>
    <row r="3" spans="1:13" s="156" customFormat="1" ht="15.75" thickBot="1" x14ac:dyDescent="0.3">
      <c r="A3" s="157">
        <f t="shared" ref="A3:M3" si="1">A1/A2</f>
        <v>1</v>
      </c>
      <c r="B3" s="157">
        <f t="shared" si="1"/>
        <v>0.6</v>
      </c>
      <c r="C3" s="157">
        <f t="shared" si="1"/>
        <v>0.5</v>
      </c>
      <c r="D3" s="157">
        <f t="shared" si="1"/>
        <v>0.5</v>
      </c>
      <c r="E3" s="157">
        <f t="shared" si="1"/>
        <v>0.75</v>
      </c>
      <c r="F3" s="157">
        <f t="shared" si="1"/>
        <v>0.66666666666666663</v>
      </c>
      <c r="G3" s="157">
        <f t="shared" si="1"/>
        <v>0.54545454545454541</v>
      </c>
      <c r="H3" s="157">
        <f t="shared" si="1"/>
        <v>0.55555555555555558</v>
      </c>
      <c r="I3" s="157">
        <f t="shared" si="1"/>
        <v>0.625</v>
      </c>
      <c r="J3" s="157">
        <f t="shared" si="1"/>
        <v>0.55555555555555558</v>
      </c>
      <c r="K3" s="157">
        <f t="shared" si="1"/>
        <v>0.7142857142857143</v>
      </c>
      <c r="L3" s="157">
        <f>L1/L2</f>
        <v>0.5</v>
      </c>
      <c r="M3" s="157">
        <f t="shared" si="1"/>
        <v>0.36363636363636365</v>
      </c>
    </row>
    <row r="4" spans="1:13" s="156" customFormat="1" ht="15.75" thickBot="1" x14ac:dyDescent="0.3">
      <c r="A4" s="156" t="s">
        <v>186</v>
      </c>
      <c r="B4" s="156" t="s">
        <v>187</v>
      </c>
      <c r="C4" s="156" t="s">
        <v>188</v>
      </c>
      <c r="D4" s="156" t="s">
        <v>189</v>
      </c>
      <c r="E4" s="156" t="s">
        <v>190</v>
      </c>
      <c r="F4" s="156" t="s">
        <v>191</v>
      </c>
      <c r="G4" s="156" t="s">
        <v>192</v>
      </c>
      <c r="H4" s="156" t="s">
        <v>193</v>
      </c>
      <c r="I4" s="156" t="s">
        <v>194</v>
      </c>
      <c r="J4" s="156" t="s">
        <v>195</v>
      </c>
      <c r="K4" s="156" t="s">
        <v>196</v>
      </c>
      <c r="L4" s="156" t="s">
        <v>197</v>
      </c>
      <c r="M4" s="156" t="s">
        <v>198</v>
      </c>
    </row>
    <row r="5" spans="1:13" x14ac:dyDescent="0.25">
      <c r="A5" s="59" t="s">
        <v>126</v>
      </c>
      <c r="B5" s="59" t="s">
        <v>199</v>
      </c>
      <c r="C5" s="59" t="s">
        <v>155</v>
      </c>
      <c r="D5" t="s">
        <v>200</v>
      </c>
      <c r="E5" s="59" t="s">
        <v>173</v>
      </c>
      <c r="F5" t="s">
        <v>201</v>
      </c>
      <c r="G5" t="s">
        <v>202</v>
      </c>
      <c r="H5" s="59" t="s">
        <v>91</v>
      </c>
      <c r="I5" t="s">
        <v>203</v>
      </c>
      <c r="J5" s="59" t="s">
        <v>137</v>
      </c>
      <c r="K5" s="59" t="s">
        <v>135</v>
      </c>
      <c r="L5" t="s">
        <v>204</v>
      </c>
      <c r="M5" s="59" t="s">
        <v>205</v>
      </c>
    </row>
    <row r="6" spans="1:13" x14ac:dyDescent="0.25">
      <c r="A6" s="59" t="s">
        <v>99</v>
      </c>
      <c r="B6" t="s">
        <v>206</v>
      </c>
      <c r="C6" s="59" t="s">
        <v>207</v>
      </c>
      <c r="D6" s="59" t="s">
        <v>147</v>
      </c>
      <c r="E6" t="s">
        <v>208</v>
      </c>
      <c r="F6" s="59" t="s">
        <v>209</v>
      </c>
      <c r="G6" s="59" t="s">
        <v>97</v>
      </c>
      <c r="H6" t="s">
        <v>210</v>
      </c>
      <c r="I6" s="59" t="s">
        <v>165</v>
      </c>
      <c r="J6" s="59" t="s">
        <v>211</v>
      </c>
      <c r="K6" s="59" t="s">
        <v>212</v>
      </c>
      <c r="L6" t="s">
        <v>213</v>
      </c>
      <c r="M6" s="59" t="s">
        <v>214</v>
      </c>
    </row>
    <row r="7" spans="1:13" x14ac:dyDescent="0.25">
      <c r="A7" s="155" t="s">
        <v>60</v>
      </c>
      <c r="B7" s="155" t="s">
        <v>129</v>
      </c>
      <c r="C7" t="s">
        <v>215</v>
      </c>
      <c r="D7" s="59" t="s">
        <v>112</v>
      </c>
      <c r="E7" s="59" t="s">
        <v>159</v>
      </c>
      <c r="F7" t="s">
        <v>216</v>
      </c>
      <c r="G7" s="59" t="s">
        <v>157</v>
      </c>
      <c r="H7" s="59" t="s">
        <v>149</v>
      </c>
      <c r="I7" t="s">
        <v>217</v>
      </c>
      <c r="J7" t="s">
        <v>218</v>
      </c>
      <c r="K7" t="s">
        <v>219</v>
      </c>
      <c r="L7" t="s">
        <v>220</v>
      </c>
      <c r="M7" s="59" t="s">
        <v>54</v>
      </c>
    </row>
    <row r="8" spans="1:13" x14ac:dyDescent="0.25">
      <c r="A8" s="59" t="s">
        <v>221</v>
      </c>
      <c r="B8" t="s">
        <v>222</v>
      </c>
      <c r="C8" s="59" t="s">
        <v>30</v>
      </c>
      <c r="D8" t="s">
        <v>223</v>
      </c>
      <c r="E8" s="59" t="s">
        <v>224</v>
      </c>
      <c r="F8" s="59" t="s">
        <v>225</v>
      </c>
      <c r="G8" s="59" t="s">
        <v>108</v>
      </c>
      <c r="H8" t="s">
        <v>226</v>
      </c>
      <c r="I8" s="155" t="s">
        <v>227</v>
      </c>
      <c r="J8" t="s">
        <v>228</v>
      </c>
      <c r="K8" s="59" t="s">
        <v>229</v>
      </c>
      <c r="L8" s="59" t="s">
        <v>230</v>
      </c>
      <c r="M8" t="s">
        <v>231</v>
      </c>
    </row>
    <row r="9" spans="1:13" x14ac:dyDescent="0.25">
      <c r="B9" s="59" t="s">
        <v>118</v>
      </c>
      <c r="C9" s="155" t="s">
        <v>232</v>
      </c>
      <c r="D9" s="59" t="s">
        <v>233</v>
      </c>
      <c r="E9" s="59" t="s">
        <v>88</v>
      </c>
      <c r="F9" t="s">
        <v>234</v>
      </c>
      <c r="G9" t="s">
        <v>235</v>
      </c>
      <c r="H9" s="59" t="s">
        <v>236</v>
      </c>
      <c r="I9" t="s">
        <v>237</v>
      </c>
      <c r="J9" t="s">
        <v>238</v>
      </c>
      <c r="K9" s="59" t="s">
        <v>239</v>
      </c>
      <c r="L9" s="59" t="s">
        <v>240</v>
      </c>
      <c r="M9" t="s">
        <v>241</v>
      </c>
    </row>
    <row r="10" spans="1:13" x14ac:dyDescent="0.25">
      <c r="B10" t="s">
        <v>242</v>
      </c>
      <c r="C10" t="s">
        <v>243</v>
      </c>
      <c r="D10" s="59" t="s">
        <v>48</v>
      </c>
      <c r="E10" s="59" t="s">
        <v>244</v>
      </c>
      <c r="F10" s="59" t="s">
        <v>245</v>
      </c>
      <c r="G10" t="s">
        <v>246</v>
      </c>
      <c r="H10" t="s">
        <v>247</v>
      </c>
      <c r="I10" s="59" t="s">
        <v>46</v>
      </c>
      <c r="J10" s="155" t="s">
        <v>248</v>
      </c>
      <c r="K10" s="59" t="s">
        <v>249</v>
      </c>
      <c r="L10" s="59" t="s">
        <v>250</v>
      </c>
      <c r="M10" t="s">
        <v>251</v>
      </c>
    </row>
    <row r="11" spans="1:13" x14ac:dyDescent="0.25">
      <c r="B11" s="59" t="s">
        <v>252</v>
      </c>
      <c r="C11" t="s">
        <v>253</v>
      </c>
      <c r="D11" t="s">
        <v>254</v>
      </c>
      <c r="E11" s="59" t="s">
        <v>151</v>
      </c>
      <c r="F11" s="59" t="s">
        <v>131</v>
      </c>
      <c r="G11" s="59" t="s">
        <v>133</v>
      </c>
      <c r="H11" t="s">
        <v>255</v>
      </c>
      <c r="I11" s="59" t="s">
        <v>145</v>
      </c>
      <c r="J11" s="59" t="s">
        <v>256</v>
      </c>
      <c r="K11" t="s">
        <v>257</v>
      </c>
      <c r="L11" s="59" t="s">
        <v>258</v>
      </c>
      <c r="M11" s="59" t="s">
        <v>36</v>
      </c>
    </row>
    <row r="12" spans="1:13" x14ac:dyDescent="0.25">
      <c r="B12" s="59" t="s">
        <v>56</v>
      </c>
      <c r="D12" t="s">
        <v>259</v>
      </c>
      <c r="F12" s="155" t="s">
        <v>62</v>
      </c>
      <c r="G12" t="s">
        <v>260</v>
      </c>
      <c r="H12" s="59" t="s">
        <v>261</v>
      </c>
      <c r="I12" s="59" t="s">
        <v>104</v>
      </c>
      <c r="J12" s="59" t="s">
        <v>262</v>
      </c>
      <c r="L12" t="s">
        <v>263</v>
      </c>
      <c r="M12" t="s">
        <v>264</v>
      </c>
    </row>
    <row r="13" spans="1:13" x14ac:dyDescent="0.25">
      <c r="B13" s="59" t="s">
        <v>114</v>
      </c>
      <c r="D13" s="59" t="s">
        <v>265</v>
      </c>
      <c r="F13" s="59" t="s">
        <v>52</v>
      </c>
      <c r="G13" s="59" t="s">
        <v>43</v>
      </c>
      <c r="H13" s="59" t="s">
        <v>73</v>
      </c>
      <c r="J13" s="59" t="s">
        <v>79</v>
      </c>
      <c r="M13" s="59" t="s">
        <v>153</v>
      </c>
    </row>
    <row r="14" spans="1:13" x14ac:dyDescent="0.25">
      <c r="D14" t="s">
        <v>266</v>
      </c>
      <c r="G14" s="59" t="s">
        <v>177</v>
      </c>
      <c r="M14" t="s">
        <v>267</v>
      </c>
    </row>
    <row r="15" spans="1:13" x14ac:dyDescent="0.25">
      <c r="D15" s="59" t="s">
        <v>268</v>
      </c>
      <c r="M15" t="s">
        <v>269</v>
      </c>
    </row>
    <row r="16" spans="1:13" x14ac:dyDescent="0.25">
      <c r="D16" t="s">
        <v>270</v>
      </c>
    </row>
    <row r="17" spans="2:7" x14ac:dyDescent="0.25">
      <c r="D17" s="155" t="s">
        <v>83</v>
      </c>
    </row>
    <row r="18" spans="2:7" x14ac:dyDescent="0.25">
      <c r="D18" t="s">
        <v>271</v>
      </c>
    </row>
    <row r="22" spans="2:7" x14ac:dyDescent="0.25">
      <c r="B22" s="59" t="s">
        <v>182</v>
      </c>
      <c r="C22" s="59" t="s">
        <v>184</v>
      </c>
      <c r="E22" t="s">
        <v>272</v>
      </c>
      <c r="G22" t="s">
        <v>273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77"/>
  <sheetViews>
    <sheetView workbookViewId="0">
      <pane xSplit="1" ySplit="2" topLeftCell="B54" activePane="bottomRight" state="frozen"/>
      <selection pane="topRight" activeCell="B1" sqref="B1"/>
      <selection pane="bottomLeft" activeCell="A3" sqref="A3"/>
      <selection pane="bottomRight" activeCell="F77" sqref="F77"/>
    </sheetView>
  </sheetViews>
  <sheetFormatPr defaultRowHeight="15" x14ac:dyDescent="0.25"/>
  <cols>
    <col min="1" max="1" width="33" bestFit="1" customWidth="1"/>
  </cols>
  <sheetData>
    <row r="1" spans="1:54" x14ac:dyDescent="0.25">
      <c r="B1">
        <f>COUNT(B3:B235)</f>
        <v>6</v>
      </c>
      <c r="C1">
        <f t="shared" ref="C1:BB1" si="0">COUNT(C3:C235)</f>
        <v>3</v>
      </c>
      <c r="D1">
        <f t="shared" si="0"/>
        <v>2</v>
      </c>
      <c r="E1">
        <f t="shared" si="0"/>
        <v>3</v>
      </c>
      <c r="F1">
        <f t="shared" si="0"/>
        <v>7</v>
      </c>
      <c r="G1">
        <f t="shared" si="0"/>
        <v>2</v>
      </c>
      <c r="H1">
        <f t="shared" si="0"/>
        <v>5</v>
      </c>
      <c r="I1">
        <f t="shared" si="0"/>
        <v>1</v>
      </c>
      <c r="J1">
        <f t="shared" si="0"/>
        <v>2</v>
      </c>
      <c r="K1">
        <f t="shared" si="0"/>
        <v>1</v>
      </c>
      <c r="L1">
        <f t="shared" si="0"/>
        <v>2</v>
      </c>
      <c r="M1">
        <f t="shared" si="0"/>
        <v>1</v>
      </c>
      <c r="N1">
        <f t="shared" si="0"/>
        <v>2</v>
      </c>
      <c r="O1">
        <f t="shared" si="0"/>
        <v>1</v>
      </c>
      <c r="P1">
        <f t="shared" si="0"/>
        <v>1</v>
      </c>
      <c r="Q1">
        <f t="shared" si="0"/>
        <v>1</v>
      </c>
      <c r="R1">
        <f t="shared" si="0"/>
        <v>1</v>
      </c>
      <c r="S1">
        <f t="shared" si="0"/>
        <v>1</v>
      </c>
      <c r="T1">
        <f t="shared" si="0"/>
        <v>1</v>
      </c>
      <c r="U1">
        <f t="shared" si="0"/>
        <v>1</v>
      </c>
      <c r="V1">
        <f t="shared" si="0"/>
        <v>2</v>
      </c>
      <c r="W1">
        <f t="shared" si="0"/>
        <v>1</v>
      </c>
      <c r="X1">
        <f t="shared" si="0"/>
        <v>1</v>
      </c>
      <c r="Y1">
        <f t="shared" si="0"/>
        <v>2</v>
      </c>
      <c r="Z1">
        <f t="shared" si="0"/>
        <v>1</v>
      </c>
      <c r="AA1">
        <f t="shared" si="0"/>
        <v>2</v>
      </c>
      <c r="AB1">
        <f t="shared" si="0"/>
        <v>1</v>
      </c>
      <c r="AC1">
        <f t="shared" si="0"/>
        <v>1</v>
      </c>
      <c r="AD1">
        <f t="shared" si="0"/>
        <v>1</v>
      </c>
      <c r="AE1">
        <f t="shared" si="0"/>
        <v>1</v>
      </c>
      <c r="AF1">
        <f>COUNT(AF3:AF235)</f>
        <v>1</v>
      </c>
      <c r="AG1">
        <f t="shared" si="0"/>
        <v>2</v>
      </c>
      <c r="AH1">
        <f t="shared" si="0"/>
        <v>1</v>
      </c>
      <c r="AI1">
        <f t="shared" si="0"/>
        <v>0</v>
      </c>
      <c r="AJ1">
        <f t="shared" si="0"/>
        <v>1</v>
      </c>
      <c r="AK1">
        <f t="shared" si="0"/>
        <v>2</v>
      </c>
      <c r="AL1">
        <f t="shared" si="0"/>
        <v>1</v>
      </c>
      <c r="AM1">
        <f t="shared" si="0"/>
        <v>1</v>
      </c>
      <c r="AN1">
        <f t="shared" si="0"/>
        <v>1</v>
      </c>
      <c r="AO1">
        <f t="shared" si="0"/>
        <v>1</v>
      </c>
      <c r="AP1">
        <f t="shared" si="0"/>
        <v>1</v>
      </c>
      <c r="AQ1">
        <f t="shared" si="0"/>
        <v>1</v>
      </c>
      <c r="AR1">
        <f t="shared" si="0"/>
        <v>1</v>
      </c>
      <c r="AS1">
        <f t="shared" si="0"/>
        <v>1</v>
      </c>
      <c r="AT1">
        <f t="shared" si="0"/>
        <v>1</v>
      </c>
      <c r="AU1">
        <f t="shared" si="0"/>
        <v>1</v>
      </c>
      <c r="AV1">
        <f t="shared" si="0"/>
        <v>1</v>
      </c>
      <c r="AW1">
        <f t="shared" si="0"/>
        <v>0</v>
      </c>
      <c r="AX1">
        <f t="shared" si="0"/>
        <v>0</v>
      </c>
      <c r="AY1">
        <f t="shared" si="0"/>
        <v>0</v>
      </c>
      <c r="AZ1">
        <f t="shared" si="0"/>
        <v>0</v>
      </c>
      <c r="BA1">
        <f t="shared" si="0"/>
        <v>0</v>
      </c>
      <c r="BB1">
        <f t="shared" si="0"/>
        <v>0</v>
      </c>
    </row>
    <row r="2" spans="1:54" x14ac:dyDescent="0.25">
      <c r="A2" t="s">
        <v>274</v>
      </c>
      <c r="B2" t="s">
        <v>275</v>
      </c>
      <c r="C2" t="s">
        <v>276</v>
      </c>
      <c r="D2" t="s">
        <v>277</v>
      </c>
      <c r="E2" t="s">
        <v>278</v>
      </c>
      <c r="F2" t="s">
        <v>279</v>
      </c>
      <c r="G2" t="s">
        <v>280</v>
      </c>
      <c r="H2" t="s">
        <v>281</v>
      </c>
      <c r="I2" t="s">
        <v>282</v>
      </c>
      <c r="J2" t="s">
        <v>283</v>
      </c>
      <c r="K2" t="s">
        <v>284</v>
      </c>
      <c r="L2" t="s">
        <v>285</v>
      </c>
      <c r="M2" t="s">
        <v>286</v>
      </c>
      <c r="N2" t="s">
        <v>287</v>
      </c>
      <c r="O2" t="s">
        <v>288</v>
      </c>
      <c r="P2" t="s">
        <v>289</v>
      </c>
      <c r="Q2" t="s">
        <v>290</v>
      </c>
      <c r="R2" t="s">
        <v>291</v>
      </c>
      <c r="S2" t="s">
        <v>292</v>
      </c>
      <c r="T2" t="s">
        <v>293</v>
      </c>
      <c r="U2" t="s">
        <v>294</v>
      </c>
      <c r="V2" t="s">
        <v>295</v>
      </c>
      <c r="W2" t="s">
        <v>296</v>
      </c>
      <c r="X2" t="s">
        <v>297</v>
      </c>
      <c r="Y2" t="s">
        <v>298</v>
      </c>
      <c r="Z2" t="s">
        <v>299</v>
      </c>
      <c r="AA2" t="s">
        <v>300</v>
      </c>
      <c r="AB2" t="s">
        <v>301</v>
      </c>
      <c r="AC2" t="s">
        <v>302</v>
      </c>
      <c r="AD2" t="s">
        <v>303</v>
      </c>
      <c r="AE2" t="s">
        <v>304</v>
      </c>
      <c r="AF2" t="s">
        <v>305</v>
      </c>
      <c r="AG2" t="s">
        <v>306</v>
      </c>
      <c r="AH2" t="s">
        <v>307</v>
      </c>
      <c r="AI2" t="s">
        <v>308</v>
      </c>
      <c r="AJ2" t="s">
        <v>309</v>
      </c>
      <c r="AK2" t="s">
        <v>310</v>
      </c>
      <c r="AL2" t="s">
        <v>311</v>
      </c>
      <c r="AM2" t="s">
        <v>312</v>
      </c>
      <c r="AN2" t="s">
        <v>313</v>
      </c>
      <c r="AO2" t="s">
        <v>314</v>
      </c>
      <c r="AP2" t="s">
        <v>315</v>
      </c>
      <c r="AQ2" t="s">
        <v>316</v>
      </c>
      <c r="AR2" t="s">
        <v>317</v>
      </c>
      <c r="AS2" t="s">
        <v>318</v>
      </c>
      <c r="AT2" t="s">
        <v>319</v>
      </c>
      <c r="AU2" t="s">
        <v>320</v>
      </c>
      <c r="AV2" t="s">
        <v>321</v>
      </c>
    </row>
    <row r="3" spans="1:54" x14ac:dyDescent="0.25">
      <c r="A3" t="s">
        <v>26</v>
      </c>
      <c r="I3">
        <v>1</v>
      </c>
    </row>
    <row r="4" spans="1:54" x14ac:dyDescent="0.25">
      <c r="A4" t="s">
        <v>29</v>
      </c>
      <c r="H4">
        <v>1</v>
      </c>
    </row>
    <row r="5" spans="1:54" x14ac:dyDescent="0.25">
      <c r="A5" t="s">
        <v>32</v>
      </c>
      <c r="C5">
        <v>1</v>
      </c>
    </row>
    <row r="6" spans="1:54" x14ac:dyDescent="0.25">
      <c r="A6" t="s">
        <v>35</v>
      </c>
      <c r="F6">
        <v>1</v>
      </c>
    </row>
    <row r="7" spans="1:54" x14ac:dyDescent="0.25">
      <c r="A7" t="s">
        <v>39</v>
      </c>
      <c r="J7">
        <v>1</v>
      </c>
    </row>
    <row r="8" spans="1:54" x14ac:dyDescent="0.25">
      <c r="A8" t="s">
        <v>42</v>
      </c>
      <c r="P8">
        <v>1</v>
      </c>
    </row>
    <row r="9" spans="1:54" x14ac:dyDescent="0.25">
      <c r="A9" t="s">
        <v>45</v>
      </c>
      <c r="R9">
        <v>1</v>
      </c>
    </row>
    <row r="10" spans="1:54" x14ac:dyDescent="0.25">
      <c r="A10" t="s">
        <v>74</v>
      </c>
      <c r="U10">
        <v>1</v>
      </c>
    </row>
    <row r="11" spans="1:54" x14ac:dyDescent="0.25">
      <c r="A11" t="s">
        <v>322</v>
      </c>
      <c r="B11">
        <v>1</v>
      </c>
    </row>
    <row r="12" spans="1:54" x14ac:dyDescent="0.25">
      <c r="A12" t="s">
        <v>63</v>
      </c>
      <c r="H12">
        <v>1</v>
      </c>
    </row>
    <row r="13" spans="1:54" x14ac:dyDescent="0.25">
      <c r="A13" t="s">
        <v>78</v>
      </c>
      <c r="T13">
        <v>1</v>
      </c>
    </row>
    <row r="14" spans="1:54" x14ac:dyDescent="0.25">
      <c r="A14" t="s">
        <v>323</v>
      </c>
      <c r="F14">
        <v>1</v>
      </c>
    </row>
    <row r="15" spans="1:54" x14ac:dyDescent="0.25">
      <c r="A15" t="s">
        <v>49</v>
      </c>
      <c r="W15">
        <v>1</v>
      </c>
    </row>
    <row r="16" spans="1:54" x14ac:dyDescent="0.25">
      <c r="A16" t="s">
        <v>80</v>
      </c>
      <c r="N16">
        <v>1</v>
      </c>
    </row>
    <row r="17" spans="1:28" x14ac:dyDescent="0.25">
      <c r="A17" t="s">
        <v>144</v>
      </c>
      <c r="Z17">
        <v>1</v>
      </c>
    </row>
    <row r="18" spans="1:28" x14ac:dyDescent="0.25">
      <c r="A18" t="s">
        <v>65</v>
      </c>
      <c r="H18">
        <v>1</v>
      </c>
    </row>
    <row r="19" spans="1:28" x14ac:dyDescent="0.25">
      <c r="A19" t="s">
        <v>87</v>
      </c>
      <c r="F19">
        <v>1</v>
      </c>
    </row>
    <row r="20" spans="1:28" x14ac:dyDescent="0.25">
      <c r="A20" t="s">
        <v>127</v>
      </c>
      <c r="H20">
        <v>1</v>
      </c>
    </row>
    <row r="21" spans="1:28" x14ac:dyDescent="0.25">
      <c r="A21" t="s">
        <v>140</v>
      </c>
      <c r="G21">
        <v>1</v>
      </c>
    </row>
    <row r="22" spans="1:28" x14ac:dyDescent="0.25">
      <c r="A22" t="s">
        <v>96</v>
      </c>
      <c r="AB22">
        <v>1</v>
      </c>
    </row>
    <row r="23" spans="1:28" x14ac:dyDescent="0.25">
      <c r="A23" t="s">
        <v>111</v>
      </c>
      <c r="B23">
        <v>1</v>
      </c>
    </row>
    <row r="24" spans="1:28" x14ac:dyDescent="0.25">
      <c r="A24" t="s">
        <v>53</v>
      </c>
      <c r="D24">
        <v>1</v>
      </c>
    </row>
    <row r="25" spans="1:28" x14ac:dyDescent="0.25">
      <c r="A25" t="s">
        <v>132</v>
      </c>
      <c r="K25">
        <v>1</v>
      </c>
    </row>
    <row r="26" spans="1:28" x14ac:dyDescent="0.25">
      <c r="A26" t="s">
        <v>84</v>
      </c>
      <c r="J26">
        <v>1</v>
      </c>
    </row>
    <row r="27" spans="1:28" x14ac:dyDescent="0.25">
      <c r="A27" t="s">
        <v>109</v>
      </c>
      <c r="V27">
        <v>1</v>
      </c>
    </row>
    <row r="28" spans="1:28" x14ac:dyDescent="0.25">
      <c r="A28" t="s">
        <v>55</v>
      </c>
      <c r="B28">
        <v>1</v>
      </c>
    </row>
    <row r="29" spans="1:28" x14ac:dyDescent="0.25">
      <c r="A29" t="s">
        <v>136</v>
      </c>
      <c r="L29">
        <v>1</v>
      </c>
    </row>
    <row r="30" spans="1:28" x14ac:dyDescent="0.25">
      <c r="A30" t="s">
        <v>94</v>
      </c>
      <c r="N30">
        <v>1</v>
      </c>
    </row>
    <row r="31" spans="1:28" x14ac:dyDescent="0.25">
      <c r="A31" t="s">
        <v>172</v>
      </c>
      <c r="O31">
        <v>1</v>
      </c>
    </row>
    <row r="32" spans="1:28" x14ac:dyDescent="0.25">
      <c r="A32" t="s">
        <v>178</v>
      </c>
      <c r="B32">
        <v>1</v>
      </c>
    </row>
    <row r="33" spans="1:34" x14ac:dyDescent="0.25">
      <c r="A33" t="s">
        <v>174</v>
      </c>
      <c r="Y33">
        <v>1</v>
      </c>
    </row>
    <row r="34" spans="1:34" x14ac:dyDescent="0.25">
      <c r="A34" t="s">
        <v>164</v>
      </c>
      <c r="Q34">
        <v>1</v>
      </c>
    </row>
    <row r="35" spans="1:34" x14ac:dyDescent="0.25">
      <c r="A35" t="s">
        <v>123</v>
      </c>
      <c r="E35">
        <v>1</v>
      </c>
    </row>
    <row r="36" spans="1:34" x14ac:dyDescent="0.25">
      <c r="A36" t="s">
        <v>72</v>
      </c>
      <c r="S36">
        <v>1</v>
      </c>
    </row>
    <row r="37" spans="1:34" x14ac:dyDescent="0.25">
      <c r="A37" t="s">
        <v>90</v>
      </c>
      <c r="AC37">
        <v>1</v>
      </c>
    </row>
    <row r="38" spans="1:34" x14ac:dyDescent="0.25">
      <c r="A38" t="s">
        <v>98</v>
      </c>
      <c r="B38">
        <v>1</v>
      </c>
    </row>
    <row r="39" spans="1:34" x14ac:dyDescent="0.25">
      <c r="A39" t="s">
        <v>76</v>
      </c>
      <c r="AE39">
        <v>1</v>
      </c>
    </row>
    <row r="40" spans="1:34" x14ac:dyDescent="0.25">
      <c r="A40" t="s">
        <v>92</v>
      </c>
      <c r="AD40">
        <v>1</v>
      </c>
    </row>
    <row r="41" spans="1:34" x14ac:dyDescent="0.25">
      <c r="A41" s="67" t="s">
        <v>128</v>
      </c>
      <c r="AG41">
        <v>1</v>
      </c>
    </row>
    <row r="42" spans="1:34" x14ac:dyDescent="0.25">
      <c r="A42" s="67" t="s">
        <v>324</v>
      </c>
      <c r="F42">
        <v>1</v>
      </c>
    </row>
    <row r="43" spans="1:34" x14ac:dyDescent="0.25">
      <c r="A43" s="67" t="s">
        <v>61</v>
      </c>
      <c r="AH43">
        <v>1</v>
      </c>
    </row>
    <row r="44" spans="1:34" x14ac:dyDescent="0.25">
      <c r="A44" s="67" t="s">
        <v>67</v>
      </c>
      <c r="H44">
        <v>1</v>
      </c>
    </row>
    <row r="45" spans="1:34" x14ac:dyDescent="0.25">
      <c r="A45" s="67" t="s">
        <v>69</v>
      </c>
      <c r="C45">
        <v>1</v>
      </c>
    </row>
    <row r="46" spans="1:34" x14ac:dyDescent="0.25">
      <c r="A46" s="67" t="s">
        <v>82</v>
      </c>
      <c r="Y46">
        <v>1</v>
      </c>
    </row>
    <row r="47" spans="1:34" x14ac:dyDescent="0.25">
      <c r="A47" s="67" t="s">
        <v>125</v>
      </c>
      <c r="V47">
        <v>1</v>
      </c>
    </row>
    <row r="48" spans="1:34" x14ac:dyDescent="0.25">
      <c r="A48" s="73" t="s">
        <v>134</v>
      </c>
      <c r="E48">
        <v>1</v>
      </c>
    </row>
    <row r="49" spans="1:48" x14ac:dyDescent="0.25">
      <c r="A49" s="73" t="s">
        <v>156</v>
      </c>
      <c r="AA49">
        <v>1</v>
      </c>
    </row>
    <row r="50" spans="1:48" x14ac:dyDescent="0.25">
      <c r="A50" s="73" t="s">
        <v>152</v>
      </c>
      <c r="M50">
        <v>1</v>
      </c>
    </row>
    <row r="51" spans="1:48" x14ac:dyDescent="0.25">
      <c r="A51" t="s">
        <v>113</v>
      </c>
      <c r="AF51">
        <v>1</v>
      </c>
    </row>
    <row r="52" spans="1:48" x14ac:dyDescent="0.25">
      <c r="A52" s="73" t="s">
        <v>103</v>
      </c>
      <c r="AK52">
        <v>1</v>
      </c>
    </row>
    <row r="53" spans="1:48" x14ac:dyDescent="0.25">
      <c r="A53" s="73" t="s">
        <v>166</v>
      </c>
      <c r="AM53">
        <v>1</v>
      </c>
    </row>
    <row r="54" spans="1:48" x14ac:dyDescent="0.25">
      <c r="A54" s="73" t="s">
        <v>158</v>
      </c>
      <c r="AL54">
        <v>1</v>
      </c>
    </row>
    <row r="55" spans="1:48" x14ac:dyDescent="0.25">
      <c r="A55" s="73" t="s">
        <v>154</v>
      </c>
      <c r="AJ55">
        <v>1</v>
      </c>
    </row>
    <row r="56" spans="1:48" x14ac:dyDescent="0.25">
      <c r="A56" s="73" t="s">
        <v>150</v>
      </c>
      <c r="L56">
        <v>1</v>
      </c>
    </row>
    <row r="57" spans="1:48" x14ac:dyDescent="0.25">
      <c r="A57" s="73" t="s">
        <v>162</v>
      </c>
      <c r="AA57">
        <v>1</v>
      </c>
    </row>
    <row r="58" spans="1:48" x14ac:dyDescent="0.25">
      <c r="A58" s="73" t="s">
        <v>148</v>
      </c>
      <c r="AN58">
        <v>1</v>
      </c>
    </row>
    <row r="59" spans="1:48" x14ac:dyDescent="0.25">
      <c r="A59" s="73" t="s">
        <v>101</v>
      </c>
      <c r="AO59">
        <v>1</v>
      </c>
    </row>
    <row r="60" spans="1:48" x14ac:dyDescent="0.25">
      <c r="A60" s="73" t="s">
        <v>120</v>
      </c>
      <c r="AR60">
        <v>1</v>
      </c>
    </row>
    <row r="61" spans="1:48" x14ac:dyDescent="0.25">
      <c r="A61" s="73" t="s">
        <v>115</v>
      </c>
      <c r="AK61">
        <v>1</v>
      </c>
    </row>
    <row r="62" spans="1:48" x14ac:dyDescent="0.25">
      <c r="A62" s="73" t="s">
        <v>138</v>
      </c>
      <c r="X62">
        <v>1</v>
      </c>
    </row>
    <row r="63" spans="1:48" x14ac:dyDescent="0.25">
      <c r="A63" s="73" t="s">
        <v>170</v>
      </c>
      <c r="AP63">
        <v>1</v>
      </c>
    </row>
    <row r="64" spans="1:48" x14ac:dyDescent="0.25">
      <c r="A64" s="73" t="s">
        <v>142</v>
      </c>
      <c r="AV64">
        <v>1</v>
      </c>
    </row>
    <row r="65" spans="1:47" x14ac:dyDescent="0.25">
      <c r="A65" s="73" t="s">
        <v>107</v>
      </c>
      <c r="AU65">
        <v>1</v>
      </c>
    </row>
    <row r="66" spans="1:47" x14ac:dyDescent="0.25">
      <c r="A66" s="73" t="s">
        <v>130</v>
      </c>
      <c r="AS66">
        <v>1</v>
      </c>
    </row>
    <row r="67" spans="1:47" x14ac:dyDescent="0.25">
      <c r="A67" s="73" t="s">
        <v>117</v>
      </c>
      <c r="E67">
        <v>1</v>
      </c>
    </row>
    <row r="68" spans="1:47" x14ac:dyDescent="0.25">
      <c r="A68" s="73" t="s">
        <v>176</v>
      </c>
      <c r="AT68">
        <v>1</v>
      </c>
    </row>
    <row r="69" spans="1:47" x14ac:dyDescent="0.25">
      <c r="A69" s="73" t="s">
        <v>178</v>
      </c>
      <c r="B69">
        <v>1</v>
      </c>
    </row>
    <row r="70" spans="1:47" x14ac:dyDescent="0.25">
      <c r="A70" s="73" t="s">
        <v>179</v>
      </c>
      <c r="C70">
        <v>1</v>
      </c>
    </row>
    <row r="71" spans="1:47" x14ac:dyDescent="0.25">
      <c r="A71" s="73" t="s">
        <v>181</v>
      </c>
      <c r="F71">
        <v>1</v>
      </c>
    </row>
    <row r="72" spans="1:47" x14ac:dyDescent="0.25">
      <c r="A72" s="73" t="s">
        <v>183</v>
      </c>
      <c r="AQ72">
        <v>1</v>
      </c>
    </row>
    <row r="73" spans="1:47" x14ac:dyDescent="0.25">
      <c r="A73" s="73" t="s">
        <v>160</v>
      </c>
      <c r="D73">
        <v>1</v>
      </c>
    </row>
    <row r="74" spans="1:47" x14ac:dyDescent="0.25">
      <c r="A74" s="73" t="s">
        <v>4184</v>
      </c>
      <c r="AG74">
        <v>1</v>
      </c>
    </row>
    <row r="75" spans="1:47" x14ac:dyDescent="0.25">
      <c r="A75" s="73" t="s">
        <v>4167</v>
      </c>
      <c r="F75">
        <v>1</v>
      </c>
    </row>
    <row r="76" spans="1:47" x14ac:dyDescent="0.25">
      <c r="A76" s="73" t="s">
        <v>4166</v>
      </c>
      <c r="F76">
        <v>1</v>
      </c>
    </row>
    <row r="77" spans="1:47" x14ac:dyDescent="0.25">
      <c r="A77" s="73" t="s">
        <v>4186</v>
      </c>
      <c r="G77">
        <v>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359AF-E3EC-40E1-9391-210B034B1CB9}">
  <sheetPr>
    <pageSetUpPr fitToPage="1"/>
  </sheetPr>
  <dimension ref="A1:BR247"/>
  <sheetViews>
    <sheetView tabSelected="1" zoomScaleNormal="100" workbookViewId="0">
      <pane xSplit="1" ySplit="3" topLeftCell="AO4" activePane="bottomRight" state="frozen"/>
      <selection pane="topRight" activeCell="B1" sqref="B1"/>
      <selection pane="bottomLeft" activeCell="A3" sqref="A3"/>
      <selection pane="bottomRight" activeCell="AX10" sqref="AX10"/>
    </sheetView>
  </sheetViews>
  <sheetFormatPr defaultRowHeight="15" x14ac:dyDescent="0.25"/>
  <cols>
    <col min="1" max="1" width="12" bestFit="1" customWidth="1"/>
    <col min="2" max="2" width="29" bestFit="1" customWidth="1"/>
    <col min="3" max="3" width="40.42578125" bestFit="1" customWidth="1"/>
    <col min="4" max="4" width="34.85546875" bestFit="1" customWidth="1"/>
    <col min="5" max="5" width="28" bestFit="1" customWidth="1"/>
    <col min="6" max="6" width="38.28515625" bestFit="1" customWidth="1"/>
    <col min="7" max="8" width="34.85546875" bestFit="1" customWidth="1"/>
    <col min="9" max="9" width="29.42578125" customWidth="1"/>
    <col min="10" max="10" width="33.5703125" bestFit="1" customWidth="1"/>
    <col min="11" max="12" width="38.28515625" bestFit="1" customWidth="1"/>
    <col min="13" max="13" width="34.85546875" bestFit="1" customWidth="1"/>
    <col min="14" max="14" width="24.28515625" bestFit="1" customWidth="1"/>
    <col min="15" max="15" width="43" bestFit="1" customWidth="1"/>
    <col min="16" max="16" width="19.42578125" bestFit="1" customWidth="1"/>
    <col min="17" max="17" width="38.28515625" bestFit="1" customWidth="1"/>
    <col min="18" max="18" width="39.7109375" bestFit="1" customWidth="1"/>
    <col min="19" max="19" width="31.28515625" bestFit="1" customWidth="1"/>
    <col min="20" max="20" width="36.5703125" bestFit="1" customWidth="1"/>
    <col min="21" max="21" width="29.140625" bestFit="1" customWidth="1"/>
    <col min="22" max="22" width="34.85546875" bestFit="1" customWidth="1"/>
    <col min="23" max="23" width="35" bestFit="1" customWidth="1"/>
    <col min="24" max="25" width="26.140625" customWidth="1"/>
    <col min="26" max="26" width="35" bestFit="1" customWidth="1"/>
    <col min="27" max="27" width="34.85546875" bestFit="1" customWidth="1"/>
    <col min="28" max="28" width="29.140625" bestFit="1" customWidth="1"/>
    <col min="29" max="29" width="44.42578125" bestFit="1" customWidth="1"/>
    <col min="30" max="30" width="38.28515625" bestFit="1" customWidth="1"/>
    <col min="31" max="31" width="28.85546875" bestFit="1" customWidth="1"/>
    <col min="32" max="32" width="28.85546875" customWidth="1"/>
    <col min="33" max="33" width="27.85546875" bestFit="1" customWidth="1"/>
    <col min="34" max="34" width="27.5703125" bestFit="1" customWidth="1"/>
    <col min="35" max="35" width="24" customWidth="1"/>
    <col min="36" max="36" width="31.140625" customWidth="1"/>
    <col min="37" max="37" width="21.7109375" customWidth="1"/>
    <col min="38" max="38" width="24" customWidth="1"/>
    <col min="39" max="39" width="36.42578125" bestFit="1" customWidth="1"/>
    <col min="40" max="40" width="36.42578125" customWidth="1"/>
    <col min="41" max="41" width="39.140625" customWidth="1"/>
    <col min="42" max="45" width="20.42578125" customWidth="1"/>
    <col min="46" max="46" width="23.28515625" bestFit="1" customWidth="1"/>
    <col min="47" max="48" width="20.42578125" customWidth="1"/>
    <col min="49" max="49" width="36.28515625" bestFit="1" customWidth="1"/>
    <col min="50" max="51" width="20.42578125" customWidth="1"/>
    <col min="52" max="52" width="41.140625" bestFit="1" customWidth="1"/>
    <col min="53" max="56" width="41.140625" customWidth="1"/>
    <col min="57" max="65" width="22.28515625" customWidth="1"/>
    <col min="66" max="66" width="20.42578125" customWidth="1"/>
    <col min="67" max="67" width="41.5703125" bestFit="1" customWidth="1"/>
    <col min="68" max="68" width="27.42578125" customWidth="1"/>
    <col min="69" max="69" width="18.140625" bestFit="1" customWidth="1"/>
    <col min="70" max="70" width="21.5703125" bestFit="1" customWidth="1"/>
  </cols>
  <sheetData>
    <row r="1" spans="1:70" x14ac:dyDescent="0.25">
      <c r="A1">
        <f>COUNTA(B2:DE2)</f>
        <v>67</v>
      </c>
      <c r="B1">
        <f>A3/A1</f>
        <v>34.776119402985074</v>
      </c>
      <c r="C1">
        <f>MAX(B2:DE2)</f>
        <v>106</v>
      </c>
      <c r="E1" t="s">
        <v>325</v>
      </c>
      <c r="G1" t="s">
        <v>325</v>
      </c>
      <c r="I1" t="s">
        <v>325</v>
      </c>
      <c r="N1" t="s">
        <v>325</v>
      </c>
      <c r="Q1" t="s">
        <v>325</v>
      </c>
      <c r="R1" t="s">
        <v>325</v>
      </c>
      <c r="V1" t="s">
        <v>325</v>
      </c>
      <c r="W1" t="s">
        <v>325</v>
      </c>
      <c r="X1" t="s">
        <v>325</v>
      </c>
      <c r="Y1" t="s">
        <v>325</v>
      </c>
      <c r="AA1" t="s">
        <v>325</v>
      </c>
      <c r="AH1" t="s">
        <v>325</v>
      </c>
      <c r="AJ1" t="s">
        <v>325</v>
      </c>
      <c r="AT1" t="s">
        <v>325</v>
      </c>
      <c r="AX1" t="s">
        <v>325</v>
      </c>
      <c r="BC1" t="s">
        <v>325</v>
      </c>
    </row>
    <row r="2" spans="1:70" x14ac:dyDescent="0.25">
      <c r="A2">
        <f>COUNTA(TRADEABLE)</f>
        <v>2243</v>
      </c>
      <c r="B2" s="59">
        <f t="shared" ref="B2:N2" si="0">COUNTA(B4:B277)</f>
        <v>15</v>
      </c>
      <c r="C2" s="59">
        <f t="shared" si="0"/>
        <v>14</v>
      </c>
      <c r="D2" s="59">
        <f t="shared" si="0"/>
        <v>12</v>
      </c>
      <c r="E2" s="59">
        <f t="shared" si="0"/>
        <v>15</v>
      </c>
      <c r="F2" s="59">
        <f t="shared" si="0"/>
        <v>12</v>
      </c>
      <c r="G2" s="59">
        <f t="shared" si="0"/>
        <v>16</v>
      </c>
      <c r="H2" s="59">
        <f t="shared" si="0"/>
        <v>11</v>
      </c>
      <c r="I2" s="59">
        <f t="shared" si="0"/>
        <v>16</v>
      </c>
      <c r="J2" s="59">
        <f t="shared" si="0"/>
        <v>14</v>
      </c>
      <c r="K2" s="59">
        <f t="shared" si="0"/>
        <v>12</v>
      </c>
      <c r="L2" s="59">
        <f t="shared" si="0"/>
        <v>12</v>
      </c>
      <c r="M2" s="59">
        <f t="shared" si="0"/>
        <v>15</v>
      </c>
      <c r="N2" s="59">
        <f t="shared" si="0"/>
        <v>29</v>
      </c>
      <c r="O2" s="59">
        <f>COUNTA(O5:O277)</f>
        <v>23</v>
      </c>
      <c r="P2">
        <f t="shared" ref="P2:Y2" si="1">COUNTA(P4:P277)</f>
        <v>64</v>
      </c>
      <c r="Q2" s="59">
        <f t="shared" si="1"/>
        <v>19</v>
      </c>
      <c r="R2" s="59">
        <f t="shared" si="1"/>
        <v>34</v>
      </c>
      <c r="S2" s="59">
        <f t="shared" si="1"/>
        <v>38</v>
      </c>
      <c r="T2" s="59">
        <f t="shared" si="1"/>
        <v>22</v>
      </c>
      <c r="U2" s="59">
        <f t="shared" si="1"/>
        <v>10</v>
      </c>
      <c r="V2" s="59">
        <f t="shared" si="1"/>
        <v>18</v>
      </c>
      <c r="W2" s="59">
        <f t="shared" si="1"/>
        <v>36</v>
      </c>
      <c r="X2" s="59">
        <f t="shared" si="1"/>
        <v>28</v>
      </c>
      <c r="Y2" s="59">
        <f t="shared" si="1"/>
        <v>58</v>
      </c>
      <c r="Z2" s="59">
        <f t="shared" ref="Z2:AE2" si="2">COUNTA(Z4:Z277)</f>
        <v>52</v>
      </c>
      <c r="AA2" s="59">
        <f t="shared" si="2"/>
        <v>22</v>
      </c>
      <c r="AB2">
        <f t="shared" si="2"/>
        <v>53</v>
      </c>
      <c r="AC2">
        <f t="shared" si="2"/>
        <v>51</v>
      </c>
      <c r="AD2" s="59">
        <f t="shared" si="2"/>
        <v>19</v>
      </c>
      <c r="AE2" s="59">
        <f t="shared" si="2"/>
        <v>25</v>
      </c>
      <c r="AF2" s="59">
        <f>COUNTA(AF5:AF277)</f>
        <v>39</v>
      </c>
      <c r="AG2" s="59">
        <f>COUNTA(AG5:AG277)</f>
        <v>31</v>
      </c>
      <c r="AH2" s="59">
        <f>COUNTA(AH6:AH277)</f>
        <v>57</v>
      </c>
      <c r="AI2" s="59">
        <f t="shared" ref="AI2:BK2" si="3">COUNTA(AI4:AI277)</f>
        <v>57</v>
      </c>
      <c r="AJ2" s="59">
        <f t="shared" si="3"/>
        <v>59</v>
      </c>
      <c r="AK2">
        <f t="shared" si="3"/>
        <v>68</v>
      </c>
      <c r="AL2">
        <f t="shared" si="3"/>
        <v>60</v>
      </c>
      <c r="AM2">
        <f t="shared" si="3"/>
        <v>51</v>
      </c>
      <c r="AN2">
        <f t="shared" si="3"/>
        <v>10</v>
      </c>
      <c r="AO2">
        <f t="shared" si="3"/>
        <v>47</v>
      </c>
      <c r="AP2">
        <f t="shared" si="3"/>
        <v>42</v>
      </c>
      <c r="AQ2">
        <f>COUNTA(AQ4:AQ277)</f>
        <v>81</v>
      </c>
      <c r="AR2">
        <f t="shared" si="3"/>
        <v>64</v>
      </c>
      <c r="AS2">
        <f t="shared" si="3"/>
        <v>44</v>
      </c>
      <c r="AT2">
        <f t="shared" si="3"/>
        <v>53</v>
      </c>
      <c r="AU2">
        <f t="shared" si="3"/>
        <v>43</v>
      </c>
      <c r="AV2">
        <f t="shared" si="3"/>
        <v>54</v>
      </c>
      <c r="AW2">
        <f t="shared" si="3"/>
        <v>31</v>
      </c>
      <c r="AX2">
        <f>COUNTA(AX5:AX277)</f>
        <v>66</v>
      </c>
      <c r="AY2">
        <f>COUNTA(AY6:AY277)</f>
        <v>83</v>
      </c>
      <c r="AZ2">
        <f>COUNTA(AZ4:AZ277)</f>
        <v>62</v>
      </c>
      <c r="BA2">
        <f t="shared" si="3"/>
        <v>1</v>
      </c>
      <c r="BB2">
        <f t="shared" si="3"/>
        <v>106</v>
      </c>
      <c r="BC2">
        <f t="shared" si="3"/>
        <v>37</v>
      </c>
      <c r="BD2">
        <f>COUNTA(BD4:BD277)</f>
        <v>101</v>
      </c>
      <c r="BE2">
        <f t="shared" si="3"/>
        <v>33</v>
      </c>
      <c r="BF2">
        <f t="shared" si="3"/>
        <v>2</v>
      </c>
      <c r="BG2">
        <f t="shared" si="3"/>
        <v>39</v>
      </c>
      <c r="BH2">
        <f t="shared" si="3"/>
        <v>2</v>
      </c>
      <c r="BI2">
        <f t="shared" si="3"/>
        <v>1</v>
      </c>
      <c r="BJ2">
        <f t="shared" si="3"/>
        <v>30</v>
      </c>
      <c r="BK2">
        <f t="shared" si="3"/>
        <v>31</v>
      </c>
      <c r="BL2">
        <f t="shared" ref="BL2" si="4">COUNTA(BL4:BL277)</f>
        <v>43</v>
      </c>
      <c r="BO2">
        <f>COUNTA(BO4:BO277)</f>
        <v>11</v>
      </c>
      <c r="BP2">
        <f>COUNTA(BP4:BP277)</f>
        <v>10</v>
      </c>
      <c r="BQ2">
        <f>COUNTA(BQ4:BQ277)</f>
        <v>0</v>
      </c>
      <c r="BR2">
        <f>COUNTA(BR4:BR277)</f>
        <v>8</v>
      </c>
    </row>
    <row r="3" spans="1:70" x14ac:dyDescent="0.25">
      <c r="A3">
        <f>A5+A31+A71+A151+A201+A221+A231</f>
        <v>2330</v>
      </c>
      <c r="B3" t="s">
        <v>26</v>
      </c>
      <c r="C3" t="s">
        <v>29</v>
      </c>
      <c r="D3" t="s">
        <v>32</v>
      </c>
      <c r="E3" t="s">
        <v>35</v>
      </c>
      <c r="F3" t="s">
        <v>39</v>
      </c>
      <c r="G3" t="s">
        <v>326</v>
      </c>
      <c r="H3" t="s">
        <v>45</v>
      </c>
      <c r="I3" s="1" t="s">
        <v>74</v>
      </c>
      <c r="J3" t="s">
        <v>47</v>
      </c>
      <c r="K3" t="s">
        <v>49</v>
      </c>
      <c r="L3" t="s">
        <v>63</v>
      </c>
      <c r="M3" t="s">
        <v>78</v>
      </c>
      <c r="N3" t="s">
        <v>323</v>
      </c>
      <c r="O3" t="s">
        <v>80</v>
      </c>
      <c r="P3" s="1" t="s">
        <v>144</v>
      </c>
      <c r="Q3" t="s">
        <v>65</v>
      </c>
      <c r="R3" t="s">
        <v>84</v>
      </c>
      <c r="S3" t="s">
        <v>87</v>
      </c>
      <c r="T3" t="s">
        <v>53</v>
      </c>
      <c r="U3" t="s">
        <v>127</v>
      </c>
      <c r="V3" t="s">
        <v>55</v>
      </c>
      <c r="W3" t="s">
        <v>96</v>
      </c>
      <c r="X3" t="s">
        <v>111</v>
      </c>
      <c r="Y3" s="1" t="s">
        <v>132</v>
      </c>
      <c r="Z3" t="s">
        <v>140</v>
      </c>
      <c r="AA3" s="1" t="s">
        <v>51</v>
      </c>
      <c r="AB3" s="1" t="s">
        <v>136</v>
      </c>
      <c r="AC3" s="1" t="s">
        <v>109</v>
      </c>
      <c r="AD3" s="1" t="s">
        <v>72</v>
      </c>
      <c r="AE3" s="1" t="s">
        <v>94</v>
      </c>
      <c r="AF3" s="1" t="s">
        <v>90</v>
      </c>
      <c r="AG3" s="1" t="s">
        <v>98</v>
      </c>
      <c r="AH3" s="1" t="s">
        <v>146</v>
      </c>
      <c r="AI3" s="70" t="s">
        <v>76</v>
      </c>
      <c r="AJ3" s="70" t="s">
        <v>92</v>
      </c>
      <c r="AK3" s="70" t="s">
        <v>134</v>
      </c>
      <c r="AL3" s="1" t="s">
        <v>113</v>
      </c>
      <c r="AM3" s="1" t="s">
        <v>103</v>
      </c>
      <c r="AN3" s="70" t="s">
        <v>166</v>
      </c>
      <c r="AO3" s="1" t="s">
        <v>158</v>
      </c>
      <c r="AP3" s="70" t="s">
        <v>154</v>
      </c>
      <c r="AQ3" s="1" t="s">
        <v>150</v>
      </c>
      <c r="AR3" s="70" t="s">
        <v>162</v>
      </c>
      <c r="AS3" s="80" t="s">
        <v>148</v>
      </c>
      <c r="AT3" s="80" t="s">
        <v>101</v>
      </c>
      <c r="AU3" s="70" t="s">
        <v>120</v>
      </c>
      <c r="AV3" s="70" t="s">
        <v>115</v>
      </c>
      <c r="AW3" s="70" t="s">
        <v>142</v>
      </c>
      <c r="AX3" s="70" t="s">
        <v>107</v>
      </c>
      <c r="AY3" s="70" t="s">
        <v>327</v>
      </c>
      <c r="AZ3" s="70" t="s">
        <v>130</v>
      </c>
      <c r="BA3" s="67" t="s">
        <v>172</v>
      </c>
      <c r="BB3" s="67" t="s">
        <v>117</v>
      </c>
      <c r="BC3" s="80" t="s">
        <v>156</v>
      </c>
      <c r="BD3" s="67" t="s">
        <v>123</v>
      </c>
      <c r="BE3" s="67" t="s">
        <v>164</v>
      </c>
      <c r="BF3" s="67" t="s">
        <v>176</v>
      </c>
      <c r="BG3" s="67" t="s">
        <v>138</v>
      </c>
      <c r="BH3" s="67" t="s">
        <v>179</v>
      </c>
      <c r="BI3" s="67" t="s">
        <v>328</v>
      </c>
      <c r="BJ3" s="67" t="s">
        <v>181</v>
      </c>
      <c r="BK3" s="67" t="s">
        <v>183</v>
      </c>
      <c r="BL3" s="67" t="s">
        <v>160</v>
      </c>
      <c r="BM3" s="67"/>
      <c r="BN3" s="1"/>
      <c r="BO3" s="1" t="s">
        <v>329</v>
      </c>
      <c r="BP3" s="1" t="s">
        <v>330</v>
      </c>
      <c r="BQ3" s="1" t="s">
        <v>331</v>
      </c>
      <c r="BR3" s="1" t="s">
        <v>332</v>
      </c>
    </row>
    <row r="4" spans="1:70" x14ac:dyDescent="0.25">
      <c r="A4" s="18" t="s">
        <v>333</v>
      </c>
      <c r="B4" s="89" t="s">
        <v>334</v>
      </c>
      <c r="C4" s="89" t="s">
        <v>335</v>
      </c>
      <c r="D4" s="20" t="s">
        <v>336</v>
      </c>
      <c r="E4" s="89" t="s">
        <v>337</v>
      </c>
      <c r="F4" s="89" t="s">
        <v>338</v>
      </c>
      <c r="G4" s="20" t="s">
        <v>339</v>
      </c>
      <c r="H4" s="89" t="s">
        <v>340</v>
      </c>
      <c r="I4" s="108" t="s">
        <v>341</v>
      </c>
      <c r="J4" s="89" t="s">
        <v>342</v>
      </c>
      <c r="K4" s="89" t="s">
        <v>338</v>
      </c>
      <c r="L4" s="89" t="s">
        <v>340</v>
      </c>
      <c r="M4" s="89" t="s">
        <v>343</v>
      </c>
      <c r="N4" s="89" t="s">
        <v>334</v>
      </c>
      <c r="O4" s="28" t="s">
        <v>344</v>
      </c>
      <c r="P4" s="28" t="s">
        <v>4114</v>
      </c>
      <c r="Q4" s="89" t="s">
        <v>345</v>
      </c>
      <c r="R4" s="89" t="s">
        <v>343</v>
      </c>
      <c r="S4" s="6" t="s">
        <v>334</v>
      </c>
      <c r="T4" s="6" t="s">
        <v>343</v>
      </c>
      <c r="U4" s="20" t="s">
        <v>384</v>
      </c>
      <c r="V4" s="107" t="s">
        <v>347</v>
      </c>
      <c r="W4" s="6" t="s">
        <v>337</v>
      </c>
      <c r="X4" s="89" t="s">
        <v>349</v>
      </c>
      <c r="Y4" s="89" t="s">
        <v>348</v>
      </c>
      <c r="Z4" s="28" t="s">
        <v>385</v>
      </c>
      <c r="AA4" s="28" t="s">
        <v>340</v>
      </c>
      <c r="AB4" s="89" t="s">
        <v>359</v>
      </c>
      <c r="AC4" s="89" t="s">
        <v>338</v>
      </c>
      <c r="AD4" s="89" t="s">
        <v>350</v>
      </c>
      <c r="AE4" s="28" t="s">
        <v>351</v>
      </c>
      <c r="AF4" s="89" t="s">
        <v>352</v>
      </c>
      <c r="AG4" s="28" t="s">
        <v>353</v>
      </c>
      <c r="AH4" s="89" t="s">
        <v>4055</v>
      </c>
      <c r="AI4" s="28" t="s">
        <v>355</v>
      </c>
      <c r="AJ4" s="89" t="s">
        <v>335</v>
      </c>
      <c r="AK4" s="6" t="s">
        <v>394</v>
      </c>
      <c r="AL4" s="89" t="s">
        <v>334</v>
      </c>
      <c r="AM4" s="6" t="s">
        <v>334</v>
      </c>
      <c r="AQ4" s="6" t="s">
        <v>371</v>
      </c>
      <c r="AR4" s="28" t="s">
        <v>4191</v>
      </c>
      <c r="AT4" s="89" t="s">
        <v>350</v>
      </c>
      <c r="AU4" s="6" t="s">
        <v>342</v>
      </c>
      <c r="AV4" s="89" t="s">
        <v>338</v>
      </c>
      <c r="AX4" s="28" t="s">
        <v>356</v>
      </c>
      <c r="AY4" s="100" t="s">
        <v>362</v>
      </c>
      <c r="AZ4" s="6" t="s">
        <v>358</v>
      </c>
      <c r="BB4" s="89" t="s">
        <v>334</v>
      </c>
      <c r="BD4" s="89" t="s">
        <v>359</v>
      </c>
      <c r="BG4" s="6" t="s">
        <v>370</v>
      </c>
      <c r="BO4" s="28" t="s">
        <v>368</v>
      </c>
    </row>
    <row r="5" spans="1:70" x14ac:dyDescent="0.25">
      <c r="A5">
        <f>COUNTA(LEGENDARY)</f>
        <v>204</v>
      </c>
      <c r="B5" s="20" t="s">
        <v>360</v>
      </c>
      <c r="C5" s="28" t="s">
        <v>361</v>
      </c>
      <c r="D5" s="89" t="s">
        <v>359</v>
      </c>
      <c r="E5" s="89" t="s">
        <v>343</v>
      </c>
      <c r="F5" s="28" t="s">
        <v>362</v>
      </c>
      <c r="G5" s="28" t="s">
        <v>363</v>
      </c>
      <c r="I5" s="100" t="s">
        <v>364</v>
      </c>
      <c r="J5" s="28" t="s">
        <v>362</v>
      </c>
      <c r="K5" s="28" t="s">
        <v>348</v>
      </c>
      <c r="L5" s="20" t="s">
        <v>355</v>
      </c>
      <c r="M5" s="6" t="s">
        <v>365</v>
      </c>
      <c r="N5" s="100" t="s">
        <v>351</v>
      </c>
      <c r="O5" s="20" t="s">
        <v>360</v>
      </c>
      <c r="Q5" s="89" t="s">
        <v>334</v>
      </c>
      <c r="R5" s="28" t="s">
        <v>366</v>
      </c>
      <c r="S5" s="20" t="s">
        <v>367</v>
      </c>
      <c r="T5" s="6" t="s">
        <v>337</v>
      </c>
      <c r="U5" s="6" t="s">
        <v>340</v>
      </c>
      <c r="V5" s="28" t="s">
        <v>344</v>
      </c>
      <c r="W5" s="28" t="s">
        <v>366</v>
      </c>
      <c r="X5" s="6" t="s">
        <v>334</v>
      </c>
      <c r="Y5" s="6" t="s">
        <v>401</v>
      </c>
      <c r="Z5" s="6" t="s">
        <v>394</v>
      </c>
      <c r="AA5" s="20" t="s">
        <v>343</v>
      </c>
      <c r="AB5" s="28" t="s">
        <v>4014</v>
      </c>
      <c r="AC5" s="28" t="s">
        <v>363</v>
      </c>
      <c r="AD5" s="89" t="s">
        <v>334</v>
      </c>
      <c r="AE5" s="89" t="s">
        <v>338</v>
      </c>
      <c r="AF5" s="89" t="s">
        <v>334</v>
      </c>
      <c r="AG5" s="89" t="s">
        <v>334</v>
      </c>
      <c r="AH5" s="89" t="s">
        <v>342</v>
      </c>
      <c r="AI5" s="89" t="s">
        <v>335</v>
      </c>
      <c r="AJ5" s="6" t="s">
        <v>368</v>
      </c>
      <c r="AK5" s="20" t="s">
        <v>344</v>
      </c>
      <c r="AL5" s="100" t="s">
        <v>351</v>
      </c>
      <c r="AM5" s="28" t="s">
        <v>354</v>
      </c>
      <c r="AR5" s="28" t="s">
        <v>338</v>
      </c>
      <c r="AT5" s="6" t="s">
        <v>335</v>
      </c>
      <c r="AU5" s="6" t="s">
        <v>4102</v>
      </c>
      <c r="AV5" s="20" t="s">
        <v>369</v>
      </c>
      <c r="AX5" s="6" t="s">
        <v>370</v>
      </c>
      <c r="AY5" s="100" t="s">
        <v>343</v>
      </c>
      <c r="AZ5" s="6" t="s">
        <v>371</v>
      </c>
      <c r="BB5" s="6" t="s">
        <v>372</v>
      </c>
      <c r="BD5" s="100" t="s">
        <v>373</v>
      </c>
      <c r="BG5" s="6" t="s">
        <v>4117</v>
      </c>
      <c r="BO5" s="28" t="s">
        <v>340</v>
      </c>
    </row>
    <row r="6" spans="1:70" x14ac:dyDescent="0.25">
      <c r="A6" s="95">
        <f>A5/$A$2</f>
        <v>9.0949621043245651E-2</v>
      </c>
      <c r="B6" s="28" t="s">
        <v>374</v>
      </c>
      <c r="C6" s="89" t="s">
        <v>375</v>
      </c>
      <c r="D6" s="89" t="s">
        <v>376</v>
      </c>
      <c r="E6" s="20" t="s">
        <v>377</v>
      </c>
      <c r="G6" s="20" t="s">
        <v>344</v>
      </c>
      <c r="J6" s="20" t="s">
        <v>378</v>
      </c>
      <c r="M6" s="20" t="s">
        <v>341</v>
      </c>
      <c r="N6" s="20" t="s">
        <v>341</v>
      </c>
      <c r="O6" s="28" t="s">
        <v>374</v>
      </c>
      <c r="Q6" s="89" t="s">
        <v>379</v>
      </c>
      <c r="S6" s="20" t="s">
        <v>380</v>
      </c>
      <c r="T6" s="6" t="s">
        <v>338</v>
      </c>
      <c r="V6" s="28" t="s">
        <v>381</v>
      </c>
      <c r="W6" s="20" t="s">
        <v>389</v>
      </c>
      <c r="X6" s="20" t="s">
        <v>344</v>
      </c>
      <c r="Y6" s="6" t="s">
        <v>4045</v>
      </c>
      <c r="Z6" s="20" t="s">
        <v>384</v>
      </c>
      <c r="AA6" s="20" t="s">
        <v>380</v>
      </c>
      <c r="AC6" s="28" t="s">
        <v>382</v>
      </c>
      <c r="AD6" s="94" t="s">
        <v>383</v>
      </c>
      <c r="AE6" s="20" t="s">
        <v>384</v>
      </c>
      <c r="AF6" s="28" t="s">
        <v>366</v>
      </c>
      <c r="AG6" s="89" t="s">
        <v>335</v>
      </c>
      <c r="AH6" s="28" t="s">
        <v>4057</v>
      </c>
      <c r="AI6" s="6" t="s">
        <v>334</v>
      </c>
      <c r="AJ6" s="20" t="s">
        <v>341</v>
      </c>
      <c r="AK6" s="28" t="s">
        <v>4002</v>
      </c>
      <c r="AL6" s="28" t="s">
        <v>385</v>
      </c>
      <c r="AR6" s="6" t="s">
        <v>4201</v>
      </c>
      <c r="AT6" s="100" t="s">
        <v>364</v>
      </c>
      <c r="AV6" s="6" t="s">
        <v>371</v>
      </c>
      <c r="AX6" s="28" t="s">
        <v>334</v>
      </c>
      <c r="AY6" s="28" t="s">
        <v>357</v>
      </c>
      <c r="AZ6" s="6" t="s">
        <v>370</v>
      </c>
      <c r="BB6" s="20" t="s">
        <v>386</v>
      </c>
      <c r="BD6" s="89" t="s">
        <v>387</v>
      </c>
      <c r="BO6" s="28" t="s">
        <v>340</v>
      </c>
    </row>
    <row r="7" spans="1:70" x14ac:dyDescent="0.25">
      <c r="M7" s="6" t="s">
        <v>359</v>
      </c>
      <c r="N7" s="20" t="s">
        <v>341</v>
      </c>
      <c r="O7" s="6" t="s">
        <v>335</v>
      </c>
      <c r="Q7" s="28" t="s">
        <v>343</v>
      </c>
      <c r="S7" s="28" t="s">
        <v>344</v>
      </c>
      <c r="T7" s="20" t="s">
        <v>388</v>
      </c>
      <c r="W7" s="94" t="s">
        <v>4030</v>
      </c>
      <c r="X7" s="28" t="s">
        <v>390</v>
      </c>
      <c r="AA7" s="100" t="s">
        <v>351</v>
      </c>
      <c r="AC7" s="6" t="s">
        <v>391</v>
      </c>
      <c r="AD7" s="6" t="s">
        <v>337</v>
      </c>
      <c r="AE7" s="28" t="s">
        <v>343</v>
      </c>
      <c r="AF7" s="28" t="s">
        <v>351</v>
      </c>
      <c r="AG7" s="6" t="s">
        <v>335</v>
      </c>
      <c r="AH7" s="28" t="s">
        <v>394</v>
      </c>
      <c r="AI7" s="28" t="s">
        <v>392</v>
      </c>
      <c r="AJ7" s="6" t="s">
        <v>349</v>
      </c>
      <c r="AL7" s="28" t="s">
        <v>382</v>
      </c>
      <c r="AT7" s="28" t="s">
        <v>337</v>
      </c>
      <c r="AV7" s="6" t="s">
        <v>393</v>
      </c>
      <c r="AX7" s="28" t="s">
        <v>361</v>
      </c>
      <c r="AY7" s="28" t="s">
        <v>335</v>
      </c>
      <c r="BB7" s="28" t="s">
        <v>394</v>
      </c>
      <c r="BD7" s="28" t="s">
        <v>362</v>
      </c>
      <c r="BO7" s="28" t="s">
        <v>374</v>
      </c>
    </row>
    <row r="8" spans="1:70" x14ac:dyDescent="0.25">
      <c r="M8" s="6" t="s">
        <v>337</v>
      </c>
      <c r="Q8" s="6" t="s">
        <v>359</v>
      </c>
      <c r="T8" s="6" t="s">
        <v>335</v>
      </c>
      <c r="AA8" s="6" t="s">
        <v>395</v>
      </c>
      <c r="AC8" s="6" t="s">
        <v>334</v>
      </c>
      <c r="AD8" s="6" t="s">
        <v>335</v>
      </c>
      <c r="AE8" s="28" t="s">
        <v>392</v>
      </c>
      <c r="AF8" s="28" t="s">
        <v>337</v>
      </c>
      <c r="AG8" s="6" t="s">
        <v>396</v>
      </c>
      <c r="AH8" s="20" t="s">
        <v>4086</v>
      </c>
      <c r="AI8" s="28" t="s">
        <v>394</v>
      </c>
      <c r="AL8" s="6" t="s">
        <v>349</v>
      </c>
      <c r="AT8" s="28" t="s">
        <v>391</v>
      </c>
      <c r="AV8" s="6" t="s">
        <v>4103</v>
      </c>
      <c r="AX8" s="20" t="s">
        <v>341</v>
      </c>
      <c r="AY8" s="28" t="s">
        <v>340</v>
      </c>
      <c r="BB8" s="28" t="s">
        <v>397</v>
      </c>
      <c r="BD8" s="6" t="s">
        <v>349</v>
      </c>
    </row>
    <row r="9" spans="1:70" x14ac:dyDescent="0.25">
      <c r="A9" s="13"/>
      <c r="Q9" s="6" t="s">
        <v>4189</v>
      </c>
      <c r="AA9" s="6" t="s">
        <v>335</v>
      </c>
      <c r="AC9" s="6" t="s">
        <v>338</v>
      </c>
      <c r="AD9" s="28" t="s">
        <v>343</v>
      </c>
      <c r="AE9" s="28" t="s">
        <v>394</v>
      </c>
      <c r="AF9" s="100" t="s">
        <v>392</v>
      </c>
      <c r="AH9" s="28" t="s">
        <v>4206</v>
      </c>
      <c r="AX9" s="28" t="s">
        <v>4002</v>
      </c>
      <c r="AY9" s="20" t="s">
        <v>341</v>
      </c>
      <c r="BB9" s="28" t="s">
        <v>398</v>
      </c>
    </row>
    <row r="10" spans="1:70" x14ac:dyDescent="0.25">
      <c r="AA10" s="28" t="s">
        <v>394</v>
      </c>
      <c r="AD10" s="20" t="s">
        <v>380</v>
      </c>
      <c r="AE10" s="28" t="s">
        <v>399</v>
      </c>
      <c r="AF10" s="28" t="s">
        <v>394</v>
      </c>
      <c r="AX10" s="28" t="s">
        <v>337</v>
      </c>
      <c r="AY10" s="20" t="s">
        <v>360</v>
      </c>
      <c r="BB10" s="28" t="s">
        <v>400</v>
      </c>
    </row>
    <row r="11" spans="1:70" x14ac:dyDescent="0.25">
      <c r="AA11" s="6" t="s">
        <v>349</v>
      </c>
      <c r="AD11" s="6" t="s">
        <v>337</v>
      </c>
      <c r="AF11" s="28" t="s">
        <v>337</v>
      </c>
      <c r="AX11" s="28" t="s">
        <v>4011</v>
      </c>
      <c r="AY11" s="6" t="s">
        <v>4163</v>
      </c>
      <c r="BB11" s="28" t="s">
        <v>342</v>
      </c>
    </row>
    <row r="12" spans="1:70" x14ac:dyDescent="0.25">
      <c r="AF12" s="28" t="s">
        <v>382</v>
      </c>
      <c r="AX12" s="6" t="s">
        <v>401</v>
      </c>
      <c r="BB12" s="6" t="s">
        <v>352</v>
      </c>
    </row>
    <row r="13" spans="1:70" x14ac:dyDescent="0.25">
      <c r="BB13" s="6" t="s">
        <v>401</v>
      </c>
    </row>
    <row r="30" spans="1:70" x14ac:dyDescent="0.25">
      <c r="A30" s="13" t="s">
        <v>402</v>
      </c>
      <c r="B30" s="101" t="s">
        <v>403</v>
      </c>
      <c r="C30" s="85" t="s">
        <v>404</v>
      </c>
      <c r="D30" s="76" t="s">
        <v>405</v>
      </c>
      <c r="E30" s="97" t="s">
        <v>406</v>
      </c>
      <c r="F30" s="97" t="s">
        <v>406</v>
      </c>
      <c r="G30" s="76" t="s">
        <v>407</v>
      </c>
      <c r="H30" s="101" t="s">
        <v>405</v>
      </c>
      <c r="I30" s="85" t="s">
        <v>408</v>
      </c>
      <c r="J30" s="9" t="s">
        <v>409</v>
      </c>
      <c r="K30" s="9" t="s">
        <v>410</v>
      </c>
      <c r="L30" s="15" t="s">
        <v>411</v>
      </c>
      <c r="M30" s="76" t="s">
        <v>412</v>
      </c>
      <c r="N30" s="76" t="s">
        <v>413</v>
      </c>
      <c r="O30" s="76" t="s">
        <v>414</v>
      </c>
      <c r="P30" s="85" t="s">
        <v>415</v>
      </c>
      <c r="Q30" s="98" t="s">
        <v>416</v>
      </c>
      <c r="R30" s="76" t="s">
        <v>417</v>
      </c>
      <c r="S30" s="9" t="s">
        <v>418</v>
      </c>
      <c r="T30" s="15" t="s">
        <v>419</v>
      </c>
      <c r="U30" s="15" t="s">
        <v>420</v>
      </c>
      <c r="V30" s="153" t="s">
        <v>421</v>
      </c>
      <c r="W30" s="15" t="s">
        <v>422</v>
      </c>
      <c r="X30" s="85" t="s">
        <v>416</v>
      </c>
      <c r="Y30" s="76" t="s">
        <v>423</v>
      </c>
      <c r="Z30" s="76" t="s">
        <v>415</v>
      </c>
      <c r="AA30" s="98" t="s">
        <v>424</v>
      </c>
      <c r="AB30" s="76" t="s">
        <v>425</v>
      </c>
      <c r="AC30" s="76" t="s">
        <v>426</v>
      </c>
      <c r="AD30" s="85" t="s">
        <v>416</v>
      </c>
      <c r="AE30" s="76" t="s">
        <v>426</v>
      </c>
      <c r="AF30" s="76" t="s">
        <v>427</v>
      </c>
      <c r="AG30" s="138" t="s">
        <v>427</v>
      </c>
      <c r="AH30" s="98" t="s">
        <v>416</v>
      </c>
      <c r="AI30" s="76" t="s">
        <v>428</v>
      </c>
      <c r="AJ30" s="85" t="s">
        <v>429</v>
      </c>
      <c r="AK30" s="8" t="s">
        <v>417</v>
      </c>
      <c r="AL30" s="76" t="s">
        <v>430</v>
      </c>
      <c r="AM30" s="98" t="s">
        <v>405</v>
      </c>
      <c r="AN30" s="15" t="s">
        <v>431</v>
      </c>
      <c r="AO30" s="76" t="s">
        <v>434</v>
      </c>
      <c r="AP30" s="99" t="s">
        <v>433</v>
      </c>
      <c r="AQ30" s="76" t="s">
        <v>434</v>
      </c>
      <c r="AR30" s="85" t="s">
        <v>435</v>
      </c>
      <c r="AS30" s="15" t="s">
        <v>420</v>
      </c>
      <c r="AT30" s="76" t="s">
        <v>436</v>
      </c>
      <c r="AU30" s="163" t="s">
        <v>437</v>
      </c>
      <c r="AV30" s="76" t="s">
        <v>436</v>
      </c>
      <c r="AW30" s="83" t="s">
        <v>416</v>
      </c>
      <c r="AX30" s="76" t="s">
        <v>438</v>
      </c>
      <c r="AY30" s="76" t="s">
        <v>439</v>
      </c>
      <c r="AZ30" s="98" t="s">
        <v>440</v>
      </c>
      <c r="BB30" s="76" t="s">
        <v>441</v>
      </c>
      <c r="BC30" s="9" t="s">
        <v>442</v>
      </c>
      <c r="BD30" s="85" t="s">
        <v>443</v>
      </c>
      <c r="BE30" s="15" t="s">
        <v>405</v>
      </c>
      <c r="BG30" s="8" t="s">
        <v>565</v>
      </c>
      <c r="BJ30" s="85" t="s">
        <v>415</v>
      </c>
      <c r="BL30" s="85" t="s">
        <v>420</v>
      </c>
      <c r="BO30" s="8" t="s">
        <v>444</v>
      </c>
      <c r="BP30" s="15" t="s">
        <v>477</v>
      </c>
      <c r="BR30" s="9" t="s">
        <v>442</v>
      </c>
    </row>
    <row r="31" spans="1:70" x14ac:dyDescent="0.25">
      <c r="A31">
        <f>COUNTA(VERYRARE)</f>
        <v>528</v>
      </c>
      <c r="B31" s="76" t="s">
        <v>441</v>
      </c>
      <c r="C31" s="8" t="s">
        <v>447</v>
      </c>
      <c r="D31" s="15" t="s">
        <v>4176</v>
      </c>
      <c r="E31" s="85" t="s">
        <v>417</v>
      </c>
      <c r="F31" s="76" t="s">
        <v>426</v>
      </c>
      <c r="G31" s="15" t="s">
        <v>408</v>
      </c>
      <c r="H31" s="76" t="s">
        <v>449</v>
      </c>
      <c r="I31" s="76" t="s">
        <v>416</v>
      </c>
      <c r="J31" s="76" t="s">
        <v>416</v>
      </c>
      <c r="K31" s="76" t="s">
        <v>417</v>
      </c>
      <c r="L31" s="8" t="s">
        <v>450</v>
      </c>
      <c r="M31" s="85" t="s">
        <v>451</v>
      </c>
      <c r="N31" s="76" t="s">
        <v>413</v>
      </c>
      <c r="O31" s="76" t="s">
        <v>452</v>
      </c>
      <c r="P31" s="85" t="s">
        <v>577</v>
      </c>
      <c r="Q31" s="166" t="s">
        <v>437</v>
      </c>
      <c r="R31" s="167" t="s">
        <v>447</v>
      </c>
      <c r="S31" s="9" t="s">
        <v>4104</v>
      </c>
      <c r="T31" s="69" t="s">
        <v>411</v>
      </c>
      <c r="U31" s="8" t="s">
        <v>456</v>
      </c>
      <c r="V31" s="15" t="s">
        <v>457</v>
      </c>
      <c r="W31" s="8" t="s">
        <v>458</v>
      </c>
      <c r="X31" s="76" t="s">
        <v>459</v>
      </c>
      <c r="Y31" s="9" t="s">
        <v>460</v>
      </c>
      <c r="Z31" s="83" t="s">
        <v>463</v>
      </c>
      <c r="AA31" s="98" t="s">
        <v>440</v>
      </c>
      <c r="AB31" s="83" t="s">
        <v>429</v>
      </c>
      <c r="AC31" s="84" t="s">
        <v>461</v>
      </c>
      <c r="AD31" s="8" t="s">
        <v>462</v>
      </c>
      <c r="AE31" s="76" t="s">
        <v>417</v>
      </c>
      <c r="AF31" s="137" t="s">
        <v>463</v>
      </c>
      <c r="AG31" s="85" t="s">
        <v>464</v>
      </c>
      <c r="AH31" s="76" t="s">
        <v>459</v>
      </c>
      <c r="AI31" s="83" t="s">
        <v>440</v>
      </c>
      <c r="AJ31" s="83" t="s">
        <v>440</v>
      </c>
      <c r="AK31" s="15" t="s">
        <v>460</v>
      </c>
      <c r="AL31" s="15" t="s">
        <v>415</v>
      </c>
      <c r="AM31" s="98" t="s">
        <v>467</v>
      </c>
      <c r="AN31" s="15" t="s">
        <v>420</v>
      </c>
      <c r="AO31" s="99" t="s">
        <v>432</v>
      </c>
      <c r="AP31" s="15" t="s">
        <v>469</v>
      </c>
      <c r="AQ31" s="85" t="s">
        <v>470</v>
      </c>
      <c r="AR31" s="85" t="s">
        <v>415</v>
      </c>
      <c r="AS31" s="9" t="s">
        <v>471</v>
      </c>
      <c r="AT31" s="9" t="s">
        <v>472</v>
      </c>
      <c r="AU31" s="76" t="s">
        <v>473</v>
      </c>
      <c r="AV31" s="85" t="s">
        <v>417</v>
      </c>
      <c r="AW31" s="85" t="s">
        <v>451</v>
      </c>
      <c r="AX31" s="85" t="s">
        <v>474</v>
      </c>
      <c r="AY31" s="76" t="s">
        <v>514</v>
      </c>
      <c r="AZ31" s="85" t="s">
        <v>476</v>
      </c>
      <c r="BB31" s="15" t="s">
        <v>415</v>
      </c>
      <c r="BC31" s="15" t="s">
        <v>436</v>
      </c>
      <c r="BD31" s="85" t="s">
        <v>429</v>
      </c>
      <c r="BE31" s="8" t="s">
        <v>449</v>
      </c>
      <c r="BL31" s="15" t="s">
        <v>420</v>
      </c>
      <c r="BO31" s="9" t="s">
        <v>472</v>
      </c>
      <c r="BP31" s="9" t="s">
        <v>439</v>
      </c>
      <c r="BR31" s="134" t="s">
        <v>478</v>
      </c>
    </row>
    <row r="32" spans="1:70" x14ac:dyDescent="0.25">
      <c r="A32" s="95">
        <f>A31/$A$2</f>
        <v>0.23539901917075345</v>
      </c>
      <c r="B32" s="8" t="s">
        <v>479</v>
      </c>
      <c r="E32" s="8" t="s">
        <v>480</v>
      </c>
      <c r="F32" s="76" t="s">
        <v>481</v>
      </c>
      <c r="G32" s="9" t="s">
        <v>448</v>
      </c>
      <c r="H32" s="15" t="s">
        <v>482</v>
      </c>
      <c r="I32" s="69" t="s">
        <v>416</v>
      </c>
      <c r="J32" s="76" t="s">
        <v>587</v>
      </c>
      <c r="K32" s="15" t="s">
        <v>484</v>
      </c>
      <c r="L32" s="8" t="s">
        <v>485</v>
      </c>
      <c r="M32" s="15" t="s">
        <v>463</v>
      </c>
      <c r="N32" s="15" t="s">
        <v>412</v>
      </c>
      <c r="O32" s="85" t="s">
        <v>426</v>
      </c>
      <c r="P32" s="85" t="s">
        <v>577</v>
      </c>
      <c r="Q32" s="8" t="s">
        <v>454</v>
      </c>
      <c r="R32" s="85" t="s">
        <v>464</v>
      </c>
      <c r="S32" s="15" t="s">
        <v>417</v>
      </c>
      <c r="T32" s="15" t="s">
        <v>420</v>
      </c>
      <c r="V32" s="15" t="s">
        <v>417</v>
      </c>
      <c r="W32" s="8" t="s">
        <v>486</v>
      </c>
      <c r="X32" s="84" t="s">
        <v>4061</v>
      </c>
      <c r="Y32" s="8" t="s">
        <v>454</v>
      </c>
      <c r="Z32" s="76" t="s">
        <v>511</v>
      </c>
      <c r="AA32" s="15" t="s">
        <v>484</v>
      </c>
      <c r="AB32" s="85" t="s">
        <v>440</v>
      </c>
      <c r="AC32" s="84" t="s">
        <v>489</v>
      </c>
      <c r="AD32" s="15" t="s">
        <v>490</v>
      </c>
      <c r="AE32" s="69" t="s">
        <v>429</v>
      </c>
      <c r="AF32" s="8" t="s">
        <v>491</v>
      </c>
      <c r="AG32" s="15" t="s">
        <v>415</v>
      </c>
      <c r="AH32" s="85" t="s">
        <v>492</v>
      </c>
      <c r="AI32" s="9" t="s">
        <v>445</v>
      </c>
      <c r="AJ32" s="85" t="s">
        <v>447</v>
      </c>
      <c r="AK32" s="8" t="s">
        <v>420</v>
      </c>
      <c r="AL32" s="15" t="s">
        <v>490</v>
      </c>
      <c r="AM32" s="85" t="s">
        <v>494</v>
      </c>
      <c r="AN32" s="8" t="s">
        <v>495</v>
      </c>
      <c r="AO32" s="85" t="s">
        <v>440</v>
      </c>
      <c r="AP32" s="9" t="s">
        <v>442</v>
      </c>
      <c r="AQ32" s="85" t="s">
        <v>440</v>
      </c>
      <c r="AR32" s="85" t="s">
        <v>463</v>
      </c>
      <c r="AT32" s="15" t="s">
        <v>448</v>
      </c>
      <c r="AU32" s="8" t="s">
        <v>496</v>
      </c>
      <c r="AV32" s="85" t="s">
        <v>416</v>
      </c>
      <c r="AW32" s="76" t="s">
        <v>422</v>
      </c>
      <c r="AX32" s="15" t="s">
        <v>497</v>
      </c>
      <c r="AY32" s="9" t="s">
        <v>498</v>
      </c>
      <c r="AZ32" s="69" t="s">
        <v>420</v>
      </c>
      <c r="BB32" s="15" t="s">
        <v>415</v>
      </c>
      <c r="BC32" s="15" t="s">
        <v>420</v>
      </c>
      <c r="BD32" s="15" t="s">
        <v>440</v>
      </c>
      <c r="BL32" s="15" t="s">
        <v>4080</v>
      </c>
      <c r="BO32" s="9" t="s">
        <v>475</v>
      </c>
      <c r="BP32" s="8" t="s">
        <v>419</v>
      </c>
      <c r="BR32" s="15" t="s">
        <v>465</v>
      </c>
    </row>
    <row r="33" spans="1:70" x14ac:dyDescent="0.25">
      <c r="B33" s="85" t="s">
        <v>499</v>
      </c>
      <c r="E33" s="15" t="s">
        <v>479</v>
      </c>
      <c r="G33" s="8" t="s">
        <v>403</v>
      </c>
      <c r="H33" s="15" t="s">
        <v>486</v>
      </c>
      <c r="I33" s="9" t="s">
        <v>500</v>
      </c>
      <c r="J33" s="15" t="s">
        <v>420</v>
      </c>
      <c r="K33" s="15" t="s">
        <v>501</v>
      </c>
      <c r="N33" s="85" t="s">
        <v>429</v>
      </c>
      <c r="O33" s="9" t="s">
        <v>418</v>
      </c>
      <c r="P33" s="15" t="s">
        <v>415</v>
      </c>
      <c r="Q33" s="15" t="s">
        <v>4157</v>
      </c>
      <c r="R33" s="8" t="s">
        <v>4033</v>
      </c>
      <c r="S33" s="15" t="s">
        <v>451</v>
      </c>
      <c r="V33" s="8" t="s">
        <v>478</v>
      </c>
      <c r="W33" s="8" t="s">
        <v>502</v>
      </c>
      <c r="X33" s="9" t="s">
        <v>463</v>
      </c>
      <c r="Y33" s="8" t="s">
        <v>503</v>
      </c>
      <c r="Z33" s="15" t="s">
        <v>4032</v>
      </c>
      <c r="AA33" s="15" t="s">
        <v>504</v>
      </c>
      <c r="AB33" s="9" t="s">
        <v>505</v>
      </c>
      <c r="AC33" s="84" t="s">
        <v>506</v>
      </c>
      <c r="AD33" s="8" t="s">
        <v>507</v>
      </c>
      <c r="AE33" s="69" t="s">
        <v>463</v>
      </c>
      <c r="AF33" s="69" t="s">
        <v>403</v>
      </c>
      <c r="AG33" s="168" t="s">
        <v>416</v>
      </c>
      <c r="AH33" s="15" t="s">
        <v>465</v>
      </c>
      <c r="AI33" s="8" t="s">
        <v>447</v>
      </c>
      <c r="AJ33" s="15" t="s">
        <v>508</v>
      </c>
      <c r="AK33" s="15" t="s">
        <v>509</v>
      </c>
      <c r="AL33" s="15" t="s">
        <v>510</v>
      </c>
      <c r="AM33" s="98" t="s">
        <v>440</v>
      </c>
      <c r="AO33" s="153" t="s">
        <v>4090</v>
      </c>
      <c r="AP33" s="15" t="s">
        <v>420</v>
      </c>
      <c r="AQ33" s="15" t="s">
        <v>420</v>
      </c>
      <c r="AR33" s="8" t="s">
        <v>488</v>
      </c>
      <c r="AT33" s="9" t="s">
        <v>431</v>
      </c>
      <c r="AU33" s="9" t="s">
        <v>411</v>
      </c>
      <c r="AV33" s="15" t="s">
        <v>487</v>
      </c>
      <c r="AW33" s="15" t="s">
        <v>512</v>
      </c>
      <c r="AX33" s="15" t="s">
        <v>513</v>
      </c>
      <c r="AY33" s="15" t="s">
        <v>448</v>
      </c>
      <c r="AZ33" s="15" t="s">
        <v>515</v>
      </c>
      <c r="BB33" s="9" t="s">
        <v>516</v>
      </c>
      <c r="BC33" s="8" t="s">
        <v>517</v>
      </c>
      <c r="BD33" s="8" t="s">
        <v>449</v>
      </c>
      <c r="BO33" s="31" t="s">
        <v>510</v>
      </c>
      <c r="BR33" s="15" t="s">
        <v>408</v>
      </c>
    </row>
    <row r="34" spans="1:70" x14ac:dyDescent="0.25">
      <c r="A34" s="104" t="s">
        <v>518</v>
      </c>
      <c r="I34" s="15" t="s">
        <v>479</v>
      </c>
      <c r="J34" s="15" t="s">
        <v>481</v>
      </c>
      <c r="N34" s="15" t="s">
        <v>519</v>
      </c>
      <c r="O34" s="15" t="s">
        <v>520</v>
      </c>
      <c r="P34" s="15" t="s">
        <v>3254</v>
      </c>
      <c r="Q34" s="8" t="s">
        <v>520</v>
      </c>
      <c r="R34" s="8" t="s">
        <v>403</v>
      </c>
      <c r="S34" s="84" t="s">
        <v>521</v>
      </c>
      <c r="V34" s="15" t="s">
        <v>412</v>
      </c>
      <c r="W34" s="15" t="s">
        <v>465</v>
      </c>
      <c r="X34" s="9" t="s">
        <v>418</v>
      </c>
      <c r="Y34" s="8" t="s">
        <v>522</v>
      </c>
      <c r="Z34" s="76" t="s">
        <v>514</v>
      </c>
      <c r="AA34" s="15" t="s">
        <v>506</v>
      </c>
      <c r="AB34" s="9" t="s">
        <v>523</v>
      </c>
      <c r="AC34" s="69" t="s">
        <v>524</v>
      </c>
      <c r="AD34" s="15" t="s">
        <v>465</v>
      </c>
      <c r="AE34" s="9" t="s">
        <v>525</v>
      </c>
      <c r="AF34" s="15" t="s">
        <v>431</v>
      </c>
      <c r="AG34" s="9" t="s">
        <v>417</v>
      </c>
      <c r="AH34" s="15" t="s">
        <v>463</v>
      </c>
      <c r="AI34" s="15" t="s">
        <v>466</v>
      </c>
      <c r="AJ34" s="8" t="s">
        <v>417</v>
      </c>
      <c r="AK34" s="9" t="s">
        <v>526</v>
      </c>
      <c r="AL34" s="9" t="s">
        <v>527</v>
      </c>
      <c r="AM34" s="9" t="s">
        <v>516</v>
      </c>
      <c r="AO34" s="8" t="s">
        <v>468</v>
      </c>
      <c r="AQ34" s="9" t="s">
        <v>528</v>
      </c>
      <c r="AR34" s="8" t="s">
        <v>531</v>
      </c>
      <c r="AT34" s="69" t="s">
        <v>416</v>
      </c>
      <c r="AU34" s="69" t="s">
        <v>529</v>
      </c>
      <c r="AV34" s="69" t="s">
        <v>466</v>
      </c>
      <c r="AX34" s="15" t="s">
        <v>497</v>
      </c>
      <c r="AY34" s="15" t="s">
        <v>420</v>
      </c>
      <c r="AZ34" s="69" t="s">
        <v>530</v>
      </c>
      <c r="BB34" s="15" t="s">
        <v>463</v>
      </c>
      <c r="BD34" s="15" t="s">
        <v>440</v>
      </c>
      <c r="BO34" s="79" t="s">
        <v>531</v>
      </c>
      <c r="BR34" s="69" t="s">
        <v>424</v>
      </c>
    </row>
    <row r="35" spans="1:70" x14ac:dyDescent="0.25">
      <c r="A35" s="105" t="s">
        <v>532</v>
      </c>
      <c r="I35" s="8" t="s">
        <v>452</v>
      </c>
      <c r="N35" s="9" t="s">
        <v>416</v>
      </c>
      <c r="P35" s="15" t="s">
        <v>525</v>
      </c>
      <c r="Q35" s="15" t="s">
        <v>4178</v>
      </c>
      <c r="R35" s="8" t="s">
        <v>447</v>
      </c>
      <c r="S35" s="15" t="s">
        <v>477</v>
      </c>
      <c r="W35" s="15" t="s">
        <v>417</v>
      </c>
      <c r="X35" s="8" t="s">
        <v>447</v>
      </c>
      <c r="Y35" s="15" t="s">
        <v>474</v>
      </c>
      <c r="Z35" s="15" t="s">
        <v>412</v>
      </c>
      <c r="AA35" s="15" t="s">
        <v>533</v>
      </c>
      <c r="AB35" s="9" t="s">
        <v>525</v>
      </c>
      <c r="AC35" s="15" t="s">
        <v>405</v>
      </c>
      <c r="AD35" s="8" t="s">
        <v>454</v>
      </c>
      <c r="AE35" s="8" t="s">
        <v>450</v>
      </c>
      <c r="AF35" s="9" t="s">
        <v>439</v>
      </c>
      <c r="AG35" s="15" t="s">
        <v>422</v>
      </c>
      <c r="AH35" s="15" t="s">
        <v>473</v>
      </c>
      <c r="AI35" s="15" t="s">
        <v>431</v>
      </c>
      <c r="AJ35" s="9" t="s">
        <v>527</v>
      </c>
      <c r="AK35" s="153" t="s">
        <v>534</v>
      </c>
      <c r="AL35" s="9" t="s">
        <v>535</v>
      </c>
      <c r="AM35" s="15" t="s">
        <v>482</v>
      </c>
      <c r="AO35" s="15" t="s">
        <v>420</v>
      </c>
      <c r="AQ35" s="9" t="s">
        <v>442</v>
      </c>
      <c r="AR35" s="8" t="s">
        <v>4087</v>
      </c>
      <c r="AT35" s="15" t="s">
        <v>499</v>
      </c>
      <c r="AU35" s="8" t="s">
        <v>536</v>
      </c>
      <c r="AV35" s="15" t="s">
        <v>510</v>
      </c>
      <c r="AX35" s="15" t="s">
        <v>504</v>
      </c>
      <c r="AY35" s="9" t="s">
        <v>460</v>
      </c>
      <c r="AZ35" s="15" t="s">
        <v>415</v>
      </c>
      <c r="BB35" s="15" t="s">
        <v>587</v>
      </c>
      <c r="BD35" s="15" t="s">
        <v>440</v>
      </c>
      <c r="BR35" s="69" t="s">
        <v>537</v>
      </c>
    </row>
    <row r="36" spans="1:70" x14ac:dyDescent="0.25">
      <c r="A36" s="106">
        <f>COUNTIF(VERYRARE, "Manual of Gainful Exercise")</f>
        <v>5</v>
      </c>
      <c r="N36" s="85" t="s">
        <v>422</v>
      </c>
      <c r="P36" s="31" t="s">
        <v>4104</v>
      </c>
      <c r="R36" s="15" t="s">
        <v>426</v>
      </c>
      <c r="S36" s="8" t="s">
        <v>538</v>
      </c>
      <c r="W36" s="15" t="s">
        <v>420</v>
      </c>
      <c r="X36" s="15" t="s">
        <v>539</v>
      </c>
      <c r="Y36" s="15" t="s">
        <v>540</v>
      </c>
      <c r="Z36" s="15" t="s">
        <v>498</v>
      </c>
      <c r="AB36" s="8" t="s">
        <v>417</v>
      </c>
      <c r="AC36" s="8" t="s">
        <v>541</v>
      </c>
      <c r="AE36" s="15" t="s">
        <v>484</v>
      </c>
      <c r="AF36" s="15" t="s">
        <v>499</v>
      </c>
      <c r="AG36" s="8" t="s">
        <v>480</v>
      </c>
      <c r="AH36" s="15" t="s">
        <v>4053</v>
      </c>
      <c r="AI36" s="15" t="s">
        <v>490</v>
      </c>
      <c r="AJ36" s="9" t="s">
        <v>428</v>
      </c>
      <c r="AK36" s="15" t="s">
        <v>412</v>
      </c>
      <c r="AL36" s="15" t="s">
        <v>515</v>
      </c>
      <c r="AM36" s="9" t="s">
        <v>428</v>
      </c>
      <c r="AO36" s="15" t="s">
        <v>4083</v>
      </c>
      <c r="AQ36" s="8" t="s">
        <v>446</v>
      </c>
      <c r="AR36" s="8" t="s">
        <v>480</v>
      </c>
      <c r="AT36" s="15" t="s">
        <v>533</v>
      </c>
      <c r="AU36" s="8" t="s">
        <v>574</v>
      </c>
      <c r="AV36" s="9" t="s">
        <v>448</v>
      </c>
      <c r="AX36" s="15" t="s">
        <v>539</v>
      </c>
      <c r="AY36" s="15" t="s">
        <v>542</v>
      </c>
      <c r="AZ36" s="9" t="s">
        <v>4029</v>
      </c>
      <c r="BB36" s="15" t="s">
        <v>463</v>
      </c>
      <c r="BD36" s="15" t="s">
        <v>544</v>
      </c>
      <c r="BR36" s="69" t="s">
        <v>545</v>
      </c>
    </row>
    <row r="37" spans="1:70" x14ac:dyDescent="0.25">
      <c r="A37" s="105" t="s">
        <v>546</v>
      </c>
      <c r="N37" s="15" t="s">
        <v>417</v>
      </c>
      <c r="P37" s="31" t="s">
        <v>4124</v>
      </c>
      <c r="R37" s="8" t="s">
        <v>491</v>
      </c>
      <c r="S37" s="8" t="s">
        <v>454</v>
      </c>
      <c r="W37" s="9" t="s">
        <v>455</v>
      </c>
      <c r="X37" s="9" t="s">
        <v>445</v>
      </c>
      <c r="Y37" s="8" t="s">
        <v>547</v>
      </c>
      <c r="Z37" s="8" t="s">
        <v>542</v>
      </c>
      <c r="AB37" s="8" t="s">
        <v>491</v>
      </c>
      <c r="AC37" s="9" t="s">
        <v>525</v>
      </c>
      <c r="AF37" s="8" t="s">
        <v>548</v>
      </c>
      <c r="AG37" s="9" t="s">
        <v>539</v>
      </c>
      <c r="AH37" s="15" t="s">
        <v>4035</v>
      </c>
      <c r="AI37" s="15" t="s">
        <v>465</v>
      </c>
      <c r="AJ37" s="15" t="s">
        <v>417</v>
      </c>
      <c r="AK37" s="8" t="s">
        <v>549</v>
      </c>
      <c r="AL37" s="8" t="s">
        <v>550</v>
      </c>
      <c r="AM37" s="8" t="s">
        <v>507</v>
      </c>
      <c r="AO37" s="15" t="s">
        <v>484</v>
      </c>
      <c r="AQ37" s="15" t="s">
        <v>516</v>
      </c>
      <c r="AR37" s="8" t="s">
        <v>428</v>
      </c>
      <c r="AT37" s="15" t="s">
        <v>492</v>
      </c>
      <c r="AU37" s="9" t="s">
        <v>525</v>
      </c>
      <c r="AV37" s="9" t="s">
        <v>551</v>
      </c>
      <c r="AX37" s="15" t="s">
        <v>552</v>
      </c>
      <c r="AY37" s="9" t="s">
        <v>442</v>
      </c>
      <c r="AZ37" s="8" t="s">
        <v>553</v>
      </c>
      <c r="BB37" s="15" t="s">
        <v>465</v>
      </c>
      <c r="BD37" s="8" t="s">
        <v>554</v>
      </c>
    </row>
    <row r="38" spans="1:70" x14ac:dyDescent="0.25">
      <c r="A38" s="106">
        <f>COUNTIF(VERYRARE, "Manual of Quickness of Action")</f>
        <v>7</v>
      </c>
      <c r="N38" s="8" t="s">
        <v>555</v>
      </c>
      <c r="P38" s="15" t="s">
        <v>4125</v>
      </c>
      <c r="R38" s="15" t="s">
        <v>440</v>
      </c>
      <c r="S38" s="9" t="s">
        <v>525</v>
      </c>
      <c r="W38" s="9" t="s">
        <v>415</v>
      </c>
      <c r="X38" s="15" t="s">
        <v>417</v>
      </c>
      <c r="Y38" s="15" t="s">
        <v>440</v>
      </c>
      <c r="Z38" s="8" t="s">
        <v>4063</v>
      </c>
      <c r="AB38" s="69" t="s">
        <v>538</v>
      </c>
      <c r="AC38" s="69" t="s">
        <v>457</v>
      </c>
      <c r="AF38" s="84" t="s">
        <v>556</v>
      </c>
      <c r="AG38" s="15" t="s">
        <v>477</v>
      </c>
      <c r="AH38" s="8" t="s">
        <v>520</v>
      </c>
      <c r="AI38" s="9" t="s">
        <v>448</v>
      </c>
      <c r="AJ38" s="15" t="s">
        <v>466</v>
      </c>
      <c r="AK38" s="15" t="s">
        <v>427</v>
      </c>
      <c r="AL38" s="15" t="s">
        <v>528</v>
      </c>
      <c r="AM38" s="85" t="s">
        <v>429</v>
      </c>
      <c r="AO38" s="15" t="s">
        <v>4080</v>
      </c>
      <c r="AQ38" s="15" t="s">
        <v>472</v>
      </c>
      <c r="AR38" s="15" t="s">
        <v>4175</v>
      </c>
      <c r="AT38" s="9" t="s">
        <v>417</v>
      </c>
      <c r="AU38" s="15" t="s">
        <v>557</v>
      </c>
      <c r="AV38" s="8" t="s">
        <v>556</v>
      </c>
      <c r="AX38" s="9" t="s">
        <v>472</v>
      </c>
      <c r="AY38" s="15" t="s">
        <v>556</v>
      </c>
      <c r="BB38" s="15" t="s">
        <v>465</v>
      </c>
      <c r="BD38" s="15" t="s">
        <v>455</v>
      </c>
    </row>
    <row r="39" spans="1:70" x14ac:dyDescent="0.25">
      <c r="A39" s="105" t="s">
        <v>558</v>
      </c>
      <c r="P39" s="15" t="s">
        <v>415</v>
      </c>
      <c r="R39" s="8" t="s">
        <v>559</v>
      </c>
      <c r="S39" s="15" t="s">
        <v>468</v>
      </c>
      <c r="W39" s="15" t="s">
        <v>474</v>
      </c>
      <c r="Y39" s="15" t="s">
        <v>465</v>
      </c>
      <c r="Z39" s="15" t="s">
        <v>4075</v>
      </c>
      <c r="AB39" s="8" t="s">
        <v>488</v>
      </c>
      <c r="AC39" s="9" t="s">
        <v>418</v>
      </c>
      <c r="AF39" s="15" t="s">
        <v>504</v>
      </c>
      <c r="AG39" s="15" t="s">
        <v>477</v>
      </c>
      <c r="AI39" s="69" t="s">
        <v>475</v>
      </c>
      <c r="AJ39" s="15" t="s">
        <v>561</v>
      </c>
      <c r="AK39" s="15" t="s">
        <v>481</v>
      </c>
      <c r="AL39" s="15" t="s">
        <v>422</v>
      </c>
      <c r="AM39" s="15" t="s">
        <v>454</v>
      </c>
      <c r="AO39" s="8" t="s">
        <v>561</v>
      </c>
      <c r="AQ39" s="9" t="s">
        <v>442</v>
      </c>
      <c r="AT39" s="8" t="s">
        <v>533</v>
      </c>
      <c r="AU39" s="9" t="s">
        <v>562</v>
      </c>
      <c r="AV39" s="69" t="s">
        <v>496</v>
      </c>
      <c r="AX39" s="9" t="s">
        <v>448</v>
      </c>
      <c r="AY39" s="8" t="s">
        <v>536</v>
      </c>
      <c r="BB39" s="15" t="s">
        <v>465</v>
      </c>
      <c r="BD39" s="15" t="s">
        <v>463</v>
      </c>
    </row>
    <row r="40" spans="1:70" x14ac:dyDescent="0.25">
      <c r="A40" s="106">
        <f>COUNTIF(VERYRARE, "Manual of Bodily Health")</f>
        <v>3</v>
      </c>
      <c r="P40" s="31" t="s">
        <v>4143</v>
      </c>
      <c r="R40" s="15" t="s">
        <v>419</v>
      </c>
      <c r="S40" s="15" t="s">
        <v>563</v>
      </c>
      <c r="W40" s="8" t="s">
        <v>564</v>
      </c>
      <c r="Y40" s="15" t="s">
        <v>465</v>
      </c>
      <c r="Z40" s="15" t="s">
        <v>415</v>
      </c>
      <c r="AB40" s="8" t="s">
        <v>565</v>
      </c>
      <c r="AC40" s="9" t="s">
        <v>415</v>
      </c>
      <c r="AG40" s="15" t="s">
        <v>448</v>
      </c>
      <c r="AI40" s="15" t="s">
        <v>431</v>
      </c>
      <c r="AJ40" s="15" t="s">
        <v>493</v>
      </c>
      <c r="AK40" s="15" t="s">
        <v>566</v>
      </c>
      <c r="AL40" s="9" t="s">
        <v>551</v>
      </c>
      <c r="AM40" s="8" t="s">
        <v>491</v>
      </c>
      <c r="AO40" s="8" t="s">
        <v>507</v>
      </c>
      <c r="AQ40" s="15" t="s">
        <v>441</v>
      </c>
      <c r="AT40" s="15" t="s">
        <v>481</v>
      </c>
      <c r="AU40" s="15" t="s">
        <v>567</v>
      </c>
      <c r="AV40" s="8" t="s">
        <v>453</v>
      </c>
      <c r="AX40" s="15" t="s">
        <v>463</v>
      </c>
      <c r="AY40" s="8" t="s">
        <v>538</v>
      </c>
      <c r="BB40" s="84" t="s">
        <v>568</v>
      </c>
      <c r="BD40" s="15" t="s">
        <v>538</v>
      </c>
    </row>
    <row r="41" spans="1:70" x14ac:dyDescent="0.25">
      <c r="A41" s="105" t="s">
        <v>569</v>
      </c>
      <c r="P41" s="15" t="s">
        <v>420</v>
      </c>
      <c r="R41" s="15" t="s">
        <v>570</v>
      </c>
      <c r="S41" s="8" t="s">
        <v>458</v>
      </c>
      <c r="W41" s="15" t="s">
        <v>463</v>
      </c>
      <c r="Y41" s="84" t="s">
        <v>568</v>
      </c>
      <c r="Z41" s="8" t="s">
        <v>590</v>
      </c>
      <c r="AB41" s="69" t="s">
        <v>571</v>
      </c>
      <c r="AC41" s="9" t="s">
        <v>543</v>
      </c>
      <c r="AI41" s="15" t="s">
        <v>419</v>
      </c>
      <c r="AJ41" s="8" t="s">
        <v>560</v>
      </c>
      <c r="AK41" s="8" t="s">
        <v>572</v>
      </c>
      <c r="AL41" s="8" t="s">
        <v>466</v>
      </c>
      <c r="AM41" s="15" t="s">
        <v>573</v>
      </c>
      <c r="AQ41" s="8" t="s">
        <v>458</v>
      </c>
      <c r="AU41" s="8" t="s">
        <v>520</v>
      </c>
      <c r="AV41" s="69" t="s">
        <v>492</v>
      </c>
      <c r="AX41" s="15" t="s">
        <v>504</v>
      </c>
      <c r="AY41" s="9" t="s">
        <v>442</v>
      </c>
      <c r="BB41" s="15" t="s">
        <v>463</v>
      </c>
      <c r="BD41" s="8" t="s">
        <v>488</v>
      </c>
    </row>
    <row r="42" spans="1:70" x14ac:dyDescent="0.25">
      <c r="A42" s="106">
        <f>COUNTIF(VERYRARE, "Tome of Clear Thought")</f>
        <v>7</v>
      </c>
      <c r="P42" s="15" t="s">
        <v>453</v>
      </c>
      <c r="R42" s="15" t="s">
        <v>463</v>
      </c>
      <c r="S42" s="15" t="s">
        <v>575</v>
      </c>
      <c r="W42" s="15" t="s">
        <v>440</v>
      </c>
      <c r="Y42" s="15" t="s">
        <v>448</v>
      </c>
      <c r="AB42" s="8" t="s">
        <v>486</v>
      </c>
      <c r="AC42" s="69" t="s">
        <v>576</v>
      </c>
      <c r="AI42" s="69" t="s">
        <v>577</v>
      </c>
      <c r="AJ42" s="9" t="s">
        <v>445</v>
      </c>
      <c r="AK42" s="15" t="s">
        <v>465</v>
      </c>
      <c r="AM42" s="15" t="s">
        <v>579</v>
      </c>
      <c r="AQ42" s="15" t="s">
        <v>587</v>
      </c>
      <c r="AU42" s="15" t="s">
        <v>440</v>
      </c>
      <c r="AV42" s="15" t="s">
        <v>580</v>
      </c>
      <c r="AX42" s="8" t="s">
        <v>588</v>
      </c>
      <c r="AY42" s="9" t="s">
        <v>442</v>
      </c>
      <c r="BB42" s="8" t="s">
        <v>536</v>
      </c>
      <c r="BD42" s="9" t="s">
        <v>525</v>
      </c>
    </row>
    <row r="43" spans="1:70" x14ac:dyDescent="0.25">
      <c r="A43" s="105" t="s">
        <v>581</v>
      </c>
      <c r="P43" s="8" t="s">
        <v>450</v>
      </c>
      <c r="R43" s="31" t="s">
        <v>571</v>
      </c>
      <c r="S43" s="15" t="s">
        <v>575</v>
      </c>
      <c r="W43" s="15" t="s">
        <v>454</v>
      </c>
      <c r="Y43" s="15" t="s">
        <v>588</v>
      </c>
      <c r="AB43" s="8" t="s">
        <v>458</v>
      </c>
      <c r="AC43" s="8" t="s">
        <v>556</v>
      </c>
      <c r="AI43" s="15" t="s">
        <v>426</v>
      </c>
      <c r="AJ43" s="9" t="s">
        <v>414</v>
      </c>
      <c r="AK43" s="9" t="s">
        <v>445</v>
      </c>
      <c r="AM43" s="15" t="s">
        <v>415</v>
      </c>
      <c r="AQ43" s="8" t="s">
        <v>490</v>
      </c>
      <c r="AV43" s="9" t="s">
        <v>472</v>
      </c>
      <c r="AY43" s="15" t="s">
        <v>4101</v>
      </c>
      <c r="BB43" s="15" t="s">
        <v>582</v>
      </c>
      <c r="BD43" s="15" t="s">
        <v>583</v>
      </c>
    </row>
    <row r="44" spans="1:70" x14ac:dyDescent="0.25">
      <c r="A44" s="106">
        <f>COUNTIF(VERYRARE, "Tome of Understanding")</f>
        <v>4</v>
      </c>
      <c r="P44" s="8" t="s">
        <v>484</v>
      </c>
      <c r="R44" s="31" t="s">
        <v>416</v>
      </c>
      <c r="S44" s="15" t="s">
        <v>457</v>
      </c>
      <c r="W44" s="15" t="s">
        <v>426</v>
      </c>
      <c r="AB44" s="15" t="s">
        <v>440</v>
      </c>
      <c r="AC44" s="69" t="s">
        <v>415</v>
      </c>
      <c r="AI44" s="69" t="s">
        <v>420</v>
      </c>
      <c r="AJ44" s="8" t="s">
        <v>584</v>
      </c>
      <c r="AK44" s="15" t="s">
        <v>417</v>
      </c>
      <c r="AM44" s="15" t="s">
        <v>465</v>
      </c>
      <c r="AQ44" s="15" t="s">
        <v>482</v>
      </c>
      <c r="AV44" s="9" t="s">
        <v>448</v>
      </c>
      <c r="AY44" s="8" t="s">
        <v>557</v>
      </c>
      <c r="BB44" s="9" t="s">
        <v>585</v>
      </c>
      <c r="BD44" s="8" t="s">
        <v>452</v>
      </c>
    </row>
    <row r="45" spans="1:70" x14ac:dyDescent="0.25">
      <c r="A45" s="105" t="s">
        <v>586</v>
      </c>
      <c r="P45" s="31" t="s">
        <v>4195</v>
      </c>
      <c r="S45" s="31" t="s">
        <v>570</v>
      </c>
      <c r="W45" s="8" t="s">
        <v>480</v>
      </c>
      <c r="AB45" s="69" t="s">
        <v>587</v>
      </c>
      <c r="AC45" s="69" t="s">
        <v>481</v>
      </c>
      <c r="AM45" s="15" t="s">
        <v>465</v>
      </c>
      <c r="AQ45" s="15" t="s">
        <v>4108</v>
      </c>
      <c r="BB45" s="15" t="s">
        <v>588</v>
      </c>
      <c r="BD45" s="15" t="s">
        <v>533</v>
      </c>
    </row>
    <row r="46" spans="1:70" x14ac:dyDescent="0.25">
      <c r="A46" s="106">
        <f>COUNTIF(VERYRARE, "Tome of Leadership and Influence")</f>
        <v>10</v>
      </c>
      <c r="S46" s="15" t="s">
        <v>440</v>
      </c>
      <c r="W46" s="15" t="s">
        <v>465</v>
      </c>
      <c r="AB46" s="69" t="s">
        <v>589</v>
      </c>
      <c r="AM46" s="15" t="s">
        <v>454</v>
      </c>
      <c r="AQ46" s="15" t="s">
        <v>535</v>
      </c>
      <c r="BD46" s="8" t="s">
        <v>488</v>
      </c>
    </row>
    <row r="47" spans="1:70" x14ac:dyDescent="0.25">
      <c r="S47" s="15" t="s">
        <v>417</v>
      </c>
      <c r="W47" s="8" t="s">
        <v>590</v>
      </c>
      <c r="AB47" s="69" t="s">
        <v>420</v>
      </c>
      <c r="AM47" s="9" t="s">
        <v>472</v>
      </c>
      <c r="BD47" s="8" t="s">
        <v>480</v>
      </c>
    </row>
    <row r="48" spans="1:70" x14ac:dyDescent="0.25">
      <c r="AB48" s="8" t="s">
        <v>462</v>
      </c>
      <c r="AM48" s="15" t="s">
        <v>520</v>
      </c>
      <c r="BD48" s="15" t="s">
        <v>465</v>
      </c>
    </row>
    <row r="49" spans="28:56" x14ac:dyDescent="0.25">
      <c r="AB49" s="69" t="s">
        <v>472</v>
      </c>
      <c r="BD49" s="8" t="s">
        <v>4079</v>
      </c>
    </row>
    <row r="50" spans="28:56" x14ac:dyDescent="0.25">
      <c r="AB50" s="69" t="s">
        <v>448</v>
      </c>
      <c r="BD50" s="15" t="s">
        <v>591</v>
      </c>
    </row>
    <row r="51" spans="28:56" x14ac:dyDescent="0.25">
      <c r="BD51" s="9" t="s">
        <v>592</v>
      </c>
    </row>
    <row r="52" spans="28:56" x14ac:dyDescent="0.25">
      <c r="BD52" s="69" t="s">
        <v>416</v>
      </c>
    </row>
    <row r="70" spans="1:70" x14ac:dyDescent="0.25">
      <c r="A70" s="17" t="s">
        <v>593</v>
      </c>
      <c r="B70" s="102" t="s">
        <v>594</v>
      </c>
      <c r="C70" s="91" t="s">
        <v>595</v>
      </c>
      <c r="D70" s="91" t="s">
        <v>596</v>
      </c>
      <c r="E70" s="10" t="s">
        <v>597</v>
      </c>
      <c r="F70" s="21" t="s">
        <v>598</v>
      </c>
      <c r="G70" s="19" t="s">
        <v>599</v>
      </c>
      <c r="H70" s="91" t="s">
        <v>596</v>
      </c>
      <c r="I70" s="91" t="s">
        <v>600</v>
      </c>
      <c r="J70" s="81" t="s">
        <v>601</v>
      </c>
      <c r="K70" s="21" t="s">
        <v>602</v>
      </c>
      <c r="L70" s="91" t="s">
        <v>603</v>
      </c>
      <c r="M70" s="81" t="s">
        <v>604</v>
      </c>
      <c r="N70" s="91" t="s">
        <v>605</v>
      </c>
      <c r="O70" s="91" t="s">
        <v>642</v>
      </c>
      <c r="P70" s="81" t="s">
        <v>604</v>
      </c>
      <c r="Q70" s="82" t="s">
        <v>613</v>
      </c>
      <c r="R70" s="81" t="s">
        <v>608</v>
      </c>
      <c r="S70" s="22" t="s">
        <v>600</v>
      </c>
      <c r="T70" s="19" t="s">
        <v>609</v>
      </c>
      <c r="U70" s="22" t="s">
        <v>606</v>
      </c>
      <c r="V70" s="81" t="s">
        <v>610</v>
      </c>
      <c r="W70" s="81" t="s">
        <v>611</v>
      </c>
      <c r="X70" s="90" t="s">
        <v>607</v>
      </c>
      <c r="Y70" s="81" t="s">
        <v>610</v>
      </c>
      <c r="Z70" s="22" t="s">
        <v>613</v>
      </c>
      <c r="AA70" s="81" t="s">
        <v>614</v>
      </c>
      <c r="AB70" s="81" t="s">
        <v>604</v>
      </c>
      <c r="AC70" s="81" t="s">
        <v>615</v>
      </c>
      <c r="AD70" s="22" t="s">
        <v>616</v>
      </c>
      <c r="AE70" s="30" t="s">
        <v>596</v>
      </c>
      <c r="AF70" s="21" t="s">
        <v>602</v>
      </c>
      <c r="AG70" s="82" t="s">
        <v>615</v>
      </c>
      <c r="AH70" s="19" t="s">
        <v>617</v>
      </c>
      <c r="AI70" s="75" t="s">
        <v>618</v>
      </c>
      <c r="AJ70" s="81" t="s">
        <v>608</v>
      </c>
      <c r="AK70" s="81" t="s">
        <v>619</v>
      </c>
      <c r="AL70" s="81" t="s">
        <v>620</v>
      </c>
      <c r="AM70" s="82" t="s">
        <v>621</v>
      </c>
      <c r="AN70" s="21" t="s">
        <v>622</v>
      </c>
      <c r="AO70" s="19" t="s">
        <v>600</v>
      </c>
      <c r="AP70" s="81" t="s">
        <v>623</v>
      </c>
      <c r="AQ70" s="81" t="s">
        <v>624</v>
      </c>
      <c r="AR70" s="22" t="s">
        <v>620</v>
      </c>
      <c r="AS70" s="81" t="s">
        <v>626</v>
      </c>
      <c r="AT70" s="81" t="s">
        <v>613</v>
      </c>
      <c r="AU70" s="81" t="s">
        <v>627</v>
      </c>
      <c r="AV70" s="81" t="s">
        <v>628</v>
      </c>
      <c r="AW70" s="81" t="s">
        <v>629</v>
      </c>
      <c r="AX70" s="88" t="s">
        <v>611</v>
      </c>
      <c r="AY70" s="81" t="s">
        <v>615</v>
      </c>
      <c r="AZ70" s="81" t="s">
        <v>606</v>
      </c>
      <c r="BA70" s="74" t="s">
        <v>630</v>
      </c>
      <c r="BB70" s="81" t="s">
        <v>631</v>
      </c>
      <c r="BC70" s="81" t="s">
        <v>632</v>
      </c>
      <c r="BD70" s="81" t="s">
        <v>604</v>
      </c>
      <c r="BE70" s="82" t="s">
        <v>633</v>
      </c>
      <c r="BF70" s="19" t="s">
        <v>634</v>
      </c>
      <c r="BG70" s="19" t="s">
        <v>635</v>
      </c>
      <c r="BH70" s="22" t="s">
        <v>636</v>
      </c>
      <c r="BJ70" s="82" t="s">
        <v>4010</v>
      </c>
      <c r="BK70" s="81" t="s">
        <v>625</v>
      </c>
      <c r="BL70" s="82" t="s">
        <v>638</v>
      </c>
      <c r="BM70" s="17"/>
      <c r="BO70" s="21" t="s">
        <v>639</v>
      </c>
      <c r="BP70" s="22" t="s">
        <v>603</v>
      </c>
      <c r="BR70" s="19" t="s">
        <v>640</v>
      </c>
    </row>
    <row r="71" spans="1:70" x14ac:dyDescent="0.25">
      <c r="A71">
        <f>COUNTA(RARE)</f>
        <v>804</v>
      </c>
      <c r="B71" s="19" t="s">
        <v>638</v>
      </c>
      <c r="C71" s="91" t="s">
        <v>641</v>
      </c>
      <c r="D71" s="22" t="s">
        <v>642</v>
      </c>
      <c r="E71" s="81" t="s">
        <v>643</v>
      </c>
      <c r="F71" s="21" t="s">
        <v>644</v>
      </c>
      <c r="G71" s="81" t="s">
        <v>611</v>
      </c>
      <c r="H71" s="82" t="s">
        <v>645</v>
      </c>
      <c r="I71" s="81" t="s">
        <v>646</v>
      </c>
      <c r="J71" s="82" t="s">
        <v>620</v>
      </c>
      <c r="K71" s="96" t="s">
        <v>647</v>
      </c>
      <c r="L71" s="22" t="s">
        <v>648</v>
      </c>
      <c r="M71" s="90" t="s">
        <v>596</v>
      </c>
      <c r="N71" s="81" t="s">
        <v>621</v>
      </c>
      <c r="O71" s="22" t="s">
        <v>606</v>
      </c>
      <c r="P71" s="90" t="s">
        <v>611</v>
      </c>
      <c r="Q71" s="22" t="s">
        <v>606</v>
      </c>
      <c r="R71" s="82" t="s">
        <v>615</v>
      </c>
      <c r="S71" s="22" t="s">
        <v>604</v>
      </c>
      <c r="T71" s="19" t="s">
        <v>597</v>
      </c>
      <c r="U71" s="22" t="s">
        <v>604</v>
      </c>
      <c r="V71" s="81" t="s">
        <v>611</v>
      </c>
      <c r="W71" s="136" t="s">
        <v>651</v>
      </c>
      <c r="X71" s="82" t="s">
        <v>652</v>
      </c>
      <c r="Y71" s="22" t="s">
        <v>611</v>
      </c>
      <c r="Z71" s="19" t="s">
        <v>605</v>
      </c>
      <c r="AA71" s="21" t="s">
        <v>653</v>
      </c>
      <c r="AB71" s="161" t="s">
        <v>754</v>
      </c>
      <c r="AC71" s="21" t="s">
        <v>655</v>
      </c>
      <c r="AD71" s="19" t="s">
        <v>620</v>
      </c>
      <c r="AE71" s="19" t="s">
        <v>655</v>
      </c>
      <c r="AF71" s="19" t="s">
        <v>656</v>
      </c>
      <c r="AG71" s="19" t="s">
        <v>657</v>
      </c>
      <c r="AH71" s="21" t="s">
        <v>658</v>
      </c>
      <c r="AI71" s="82" t="s">
        <v>644</v>
      </c>
      <c r="AJ71" s="19" t="s">
        <v>659</v>
      </c>
      <c r="AK71" s="75" t="s">
        <v>660</v>
      </c>
      <c r="AL71" s="81" t="s">
        <v>631</v>
      </c>
      <c r="AM71" s="19" t="s">
        <v>644</v>
      </c>
      <c r="AN71" s="19" t="s">
        <v>606</v>
      </c>
      <c r="AO71" s="22" t="s">
        <v>610</v>
      </c>
      <c r="AP71" s="81" t="s">
        <v>661</v>
      </c>
      <c r="AQ71" s="19" t="s">
        <v>662</v>
      </c>
      <c r="AR71" s="19" t="s">
        <v>653</v>
      </c>
      <c r="AS71" s="22" t="s">
        <v>625</v>
      </c>
      <c r="AT71" s="19" t="s">
        <v>606</v>
      </c>
      <c r="AU71" s="82" t="s">
        <v>616</v>
      </c>
      <c r="AV71" s="19" t="s">
        <v>644</v>
      </c>
      <c r="AW71" s="81" t="s">
        <v>600</v>
      </c>
      <c r="AX71" s="19" t="s">
        <v>663</v>
      </c>
      <c r="AY71" s="22" t="s">
        <v>664</v>
      </c>
      <c r="AZ71" s="19" t="s">
        <v>604</v>
      </c>
      <c r="BB71" s="82" t="s">
        <v>620</v>
      </c>
      <c r="BC71" s="19" t="s">
        <v>665</v>
      </c>
      <c r="BD71" s="19" t="s">
        <v>666</v>
      </c>
      <c r="BE71" s="161" t="s">
        <v>667</v>
      </c>
      <c r="BG71" s="21" t="s">
        <v>668</v>
      </c>
      <c r="BJ71" s="81" t="s">
        <v>4097</v>
      </c>
      <c r="BK71" s="81" t="s">
        <v>4025</v>
      </c>
      <c r="BL71" s="19" t="s">
        <v>669</v>
      </c>
      <c r="BO71" s="21" t="s">
        <v>637</v>
      </c>
      <c r="BP71" s="19" t="s">
        <v>670</v>
      </c>
    </row>
    <row r="72" spans="1:70" x14ac:dyDescent="0.25">
      <c r="A72" s="95">
        <f>A71/$A$2</f>
        <v>0.35844850646455639</v>
      </c>
      <c r="B72" s="21" t="s">
        <v>639</v>
      </c>
      <c r="C72" s="82" t="s">
        <v>621</v>
      </c>
      <c r="D72" s="22" t="s">
        <v>642</v>
      </c>
      <c r="E72" s="22" t="s">
        <v>605</v>
      </c>
      <c r="F72" s="81" t="s">
        <v>671</v>
      </c>
      <c r="G72" s="81" t="s">
        <v>600</v>
      </c>
      <c r="H72" s="19" t="s">
        <v>672</v>
      </c>
      <c r="I72" s="19" t="s">
        <v>673</v>
      </c>
      <c r="J72" s="62" t="s">
        <v>674</v>
      </c>
      <c r="K72" s="96" t="s">
        <v>675</v>
      </c>
      <c r="L72" s="96" t="s">
        <v>676</v>
      </c>
      <c r="N72" s="81" t="s">
        <v>604</v>
      </c>
      <c r="O72" s="62" t="s">
        <v>677</v>
      </c>
      <c r="P72" s="19" t="s">
        <v>603</v>
      </c>
      <c r="Q72" s="19" t="s">
        <v>4156</v>
      </c>
      <c r="R72" s="19" t="s">
        <v>611</v>
      </c>
      <c r="S72" s="19" t="s">
        <v>644</v>
      </c>
      <c r="T72" s="19" t="s">
        <v>678</v>
      </c>
      <c r="U72" s="21" t="s">
        <v>605</v>
      </c>
      <c r="V72" s="62" t="s">
        <v>679</v>
      </c>
      <c r="W72" s="21" t="s">
        <v>680</v>
      </c>
      <c r="X72" s="19" t="s">
        <v>681</v>
      </c>
      <c r="Y72" s="19" t="s">
        <v>682</v>
      </c>
      <c r="Z72" s="21" t="s">
        <v>683</v>
      </c>
      <c r="AA72" s="21" t="s">
        <v>684</v>
      </c>
      <c r="AB72" s="21" t="s">
        <v>596</v>
      </c>
      <c r="AC72" s="19" t="s">
        <v>616</v>
      </c>
      <c r="AD72" s="17"/>
      <c r="AE72" s="19" t="s">
        <v>619</v>
      </c>
      <c r="AF72" s="19" t="s">
        <v>685</v>
      </c>
      <c r="AG72" s="21" t="s">
        <v>686</v>
      </c>
      <c r="AH72" s="21" t="s">
        <v>654</v>
      </c>
      <c r="AI72" s="88" t="s">
        <v>654</v>
      </c>
      <c r="AJ72" s="19" t="s">
        <v>687</v>
      </c>
      <c r="AK72" s="81" t="s">
        <v>688</v>
      </c>
      <c r="AL72" s="19" t="s">
        <v>689</v>
      </c>
      <c r="AM72" s="19" t="s">
        <v>596</v>
      </c>
      <c r="AN72" s="19" t="s">
        <v>657</v>
      </c>
      <c r="AO72" s="21" t="s">
        <v>638</v>
      </c>
      <c r="AP72" s="19" t="s">
        <v>689</v>
      </c>
      <c r="AQ72" s="19" t="s">
        <v>690</v>
      </c>
      <c r="AR72" s="22" t="s">
        <v>785</v>
      </c>
      <c r="AS72" s="19" t="s">
        <v>691</v>
      </c>
      <c r="AT72" s="19" t="s">
        <v>692</v>
      </c>
      <c r="AU72" s="21" t="s">
        <v>693</v>
      </c>
      <c r="AV72" s="21" t="s">
        <v>694</v>
      </c>
      <c r="AW72" s="21" t="s">
        <v>695</v>
      </c>
      <c r="AX72" s="21" t="s">
        <v>696</v>
      </c>
      <c r="AY72" s="19" t="s">
        <v>697</v>
      </c>
      <c r="AZ72" s="19" t="s">
        <v>698</v>
      </c>
      <c r="BB72" s="19" t="s">
        <v>677</v>
      </c>
      <c r="BC72" s="21" t="s">
        <v>699</v>
      </c>
      <c r="BD72" s="19" t="s">
        <v>632</v>
      </c>
      <c r="BE72" s="19" t="s">
        <v>636</v>
      </c>
      <c r="BG72" s="19" t="s">
        <v>606</v>
      </c>
      <c r="BJ72" s="19" t="s">
        <v>869</v>
      </c>
      <c r="BK72" s="19" t="s">
        <v>752</v>
      </c>
      <c r="BL72" s="19" t="s">
        <v>608</v>
      </c>
      <c r="BP72" s="22" t="s">
        <v>604</v>
      </c>
    </row>
    <row r="73" spans="1:70" x14ac:dyDescent="0.25">
      <c r="I73" s="62" t="s">
        <v>700</v>
      </c>
      <c r="N73" s="81" t="s">
        <v>608</v>
      </c>
      <c r="O73" s="21" t="s">
        <v>787</v>
      </c>
      <c r="P73" s="21" t="s">
        <v>721</v>
      </c>
      <c r="R73" s="22" t="s">
        <v>616</v>
      </c>
      <c r="S73" s="21" t="s">
        <v>701</v>
      </c>
      <c r="T73" s="19" t="s">
        <v>702</v>
      </c>
      <c r="W73" s="19" t="s">
        <v>687</v>
      </c>
      <c r="X73" s="21" t="s">
        <v>680</v>
      </c>
      <c r="Y73" s="19" t="s">
        <v>703</v>
      </c>
      <c r="Z73" s="21" t="s">
        <v>653</v>
      </c>
      <c r="AB73" s="19" t="s">
        <v>704</v>
      </c>
      <c r="AC73" s="22" t="s">
        <v>599</v>
      </c>
      <c r="AE73" s="81" t="s">
        <v>608</v>
      </c>
      <c r="AF73" s="19" t="s">
        <v>705</v>
      </c>
      <c r="AH73" s="21" t="s">
        <v>594</v>
      </c>
      <c r="AI73" s="19" t="s">
        <v>706</v>
      </c>
      <c r="AJ73" s="21" t="s">
        <v>707</v>
      </c>
      <c r="AK73" s="19" t="s">
        <v>674</v>
      </c>
      <c r="AL73" s="21" t="s">
        <v>708</v>
      </c>
      <c r="AM73" s="19" t="s">
        <v>687</v>
      </c>
      <c r="AN73" s="19" t="s">
        <v>4207</v>
      </c>
      <c r="AO73" s="19" t="s">
        <v>709</v>
      </c>
      <c r="AP73" s="21" t="s">
        <v>668</v>
      </c>
      <c r="AQ73" s="19" t="s">
        <v>710</v>
      </c>
      <c r="AR73" s="19" t="s">
        <v>622</v>
      </c>
      <c r="AS73" s="21" t="s">
        <v>711</v>
      </c>
      <c r="AT73" s="19" t="s">
        <v>596</v>
      </c>
      <c r="AU73" s="19" t="s">
        <v>712</v>
      </c>
      <c r="AV73" s="19" t="s">
        <v>713</v>
      </c>
      <c r="AW73" s="21" t="s">
        <v>714</v>
      </c>
      <c r="AX73" s="19" t="s">
        <v>715</v>
      </c>
      <c r="AY73" s="19" t="s">
        <v>716</v>
      </c>
      <c r="AZ73" s="21" t="s">
        <v>637</v>
      </c>
      <c r="BB73" s="21" t="s">
        <v>639</v>
      </c>
      <c r="BC73" s="21" t="s">
        <v>717</v>
      </c>
      <c r="BD73" s="21" t="s">
        <v>684</v>
      </c>
      <c r="BE73" s="21" t="s">
        <v>798</v>
      </c>
      <c r="BG73" s="19" t="s">
        <v>718</v>
      </c>
      <c r="BJ73" s="19" t="s">
        <v>763</v>
      </c>
      <c r="BK73" s="21" t="s">
        <v>4003</v>
      </c>
      <c r="BL73" s="22" t="s">
        <v>618</v>
      </c>
      <c r="BP73" s="19" t="s">
        <v>719</v>
      </c>
    </row>
    <row r="74" spans="1:70" x14ac:dyDescent="0.25">
      <c r="A74" s="18"/>
      <c r="N74" s="21" t="s">
        <v>720</v>
      </c>
      <c r="O74" s="22" t="s">
        <v>648</v>
      </c>
      <c r="P74" s="21" t="s">
        <v>738</v>
      </c>
      <c r="R74" s="19" t="s">
        <v>656</v>
      </c>
      <c r="S74" s="21" t="s">
        <v>722</v>
      </c>
      <c r="T74" s="19" t="s">
        <v>723</v>
      </c>
      <c r="W74" s="19" t="s">
        <v>724</v>
      </c>
      <c r="X74" s="19" t="s">
        <v>650</v>
      </c>
      <c r="Y74" s="19" t="s">
        <v>725</v>
      </c>
      <c r="Z74" s="19" t="s">
        <v>705</v>
      </c>
      <c r="AB74" s="21" t="s">
        <v>726</v>
      </c>
      <c r="AC74" s="21" t="s">
        <v>611</v>
      </c>
      <c r="AE74" s="21" t="s">
        <v>727</v>
      </c>
      <c r="AF74" s="21" t="s">
        <v>637</v>
      </c>
      <c r="AH74" s="19" t="s">
        <v>613</v>
      </c>
      <c r="AI74" s="19" t="s">
        <v>596</v>
      </c>
      <c r="AJ74" s="19" t="s">
        <v>728</v>
      </c>
      <c r="AK74" s="19" t="s">
        <v>632</v>
      </c>
      <c r="AL74" s="21" t="s">
        <v>706</v>
      </c>
      <c r="AM74" s="62" t="s">
        <v>729</v>
      </c>
      <c r="AO74" s="22" t="s">
        <v>608</v>
      </c>
      <c r="AP74" s="19" t="s">
        <v>730</v>
      </c>
      <c r="AQ74" s="19" t="s">
        <v>731</v>
      </c>
      <c r="AR74" s="19" t="s">
        <v>638</v>
      </c>
      <c r="AS74" s="19" t="s">
        <v>606</v>
      </c>
      <c r="AT74" s="21" t="s">
        <v>594</v>
      </c>
      <c r="AU74" s="19" t="s">
        <v>732</v>
      </c>
      <c r="AV74" s="21" t="s">
        <v>598</v>
      </c>
      <c r="AW74" s="19" t="s">
        <v>733</v>
      </c>
      <c r="AX74" s="22" t="s">
        <v>734</v>
      </c>
      <c r="AY74" s="19" t="s">
        <v>735</v>
      </c>
      <c r="AZ74" s="74" t="s">
        <v>736</v>
      </c>
      <c r="BB74" s="21" t="s">
        <v>655</v>
      </c>
      <c r="BC74" s="22" t="s">
        <v>621</v>
      </c>
      <c r="BD74" s="19" t="s">
        <v>737</v>
      </c>
      <c r="BE74" s="21" t="s">
        <v>633</v>
      </c>
      <c r="BG74" s="21" t="s">
        <v>639</v>
      </c>
      <c r="BJ74" s="21" t="s">
        <v>4095</v>
      </c>
      <c r="BK74" s="19" t="s">
        <v>758</v>
      </c>
      <c r="BL74" s="19" t="s">
        <v>597</v>
      </c>
    </row>
    <row r="75" spans="1:70" x14ac:dyDescent="0.25">
      <c r="A75" s="13"/>
      <c r="N75" s="19" t="s">
        <v>645</v>
      </c>
      <c r="O75" s="21" t="s">
        <v>738</v>
      </c>
      <c r="P75" s="21" t="s">
        <v>746</v>
      </c>
      <c r="R75" s="21" t="s">
        <v>637</v>
      </c>
      <c r="S75" s="21" t="s">
        <v>633</v>
      </c>
      <c r="T75" s="21" t="s">
        <v>686</v>
      </c>
      <c r="W75" s="21" t="s">
        <v>739</v>
      </c>
      <c r="X75" s="21" t="s">
        <v>619</v>
      </c>
      <c r="Y75" s="21" t="s">
        <v>654</v>
      </c>
      <c r="Z75" s="21" t="s">
        <v>680</v>
      </c>
      <c r="AB75" s="21" t="s">
        <v>594</v>
      </c>
      <c r="AC75" s="19" t="s">
        <v>740</v>
      </c>
      <c r="AF75" s="82" t="s">
        <v>615</v>
      </c>
      <c r="AH75" s="21" t="s">
        <v>741</v>
      </c>
      <c r="AI75" s="21" t="s">
        <v>742</v>
      </c>
      <c r="AJ75" s="74" t="s">
        <v>743</v>
      </c>
      <c r="AK75" s="82" t="s">
        <v>621</v>
      </c>
      <c r="AL75" s="22" t="s">
        <v>600</v>
      </c>
      <c r="AM75" s="21" t="s">
        <v>594</v>
      </c>
      <c r="AO75" s="81" t="s">
        <v>618</v>
      </c>
      <c r="AP75" s="19" t="s">
        <v>744</v>
      </c>
      <c r="AQ75" s="19" t="s">
        <v>745</v>
      </c>
      <c r="AR75" s="21" t="s">
        <v>746</v>
      </c>
      <c r="AS75" s="19" t="s">
        <v>747</v>
      </c>
      <c r="AT75" s="21" t="s">
        <v>654</v>
      </c>
      <c r="AU75" s="19" t="s">
        <v>719</v>
      </c>
      <c r="AV75" s="21" t="s">
        <v>654</v>
      </c>
      <c r="AW75" s="19" t="s">
        <v>658</v>
      </c>
      <c r="AX75" s="21" t="s">
        <v>748</v>
      </c>
      <c r="AY75" s="19" t="s">
        <v>749</v>
      </c>
      <c r="AZ75" s="19" t="s">
        <v>600</v>
      </c>
      <c r="BB75" s="19" t="s">
        <v>750</v>
      </c>
      <c r="BC75" s="19" t="s">
        <v>666</v>
      </c>
      <c r="BD75" s="21" t="s">
        <v>751</v>
      </c>
      <c r="BE75" s="21" t="s">
        <v>654</v>
      </c>
      <c r="BG75" s="21" t="s">
        <v>644</v>
      </c>
      <c r="BJ75" s="22" t="s">
        <v>4096</v>
      </c>
      <c r="BK75" s="21" t="s">
        <v>3998</v>
      </c>
      <c r="BL75" s="19" t="s">
        <v>752</v>
      </c>
    </row>
    <row r="76" spans="1:70" x14ac:dyDescent="0.25">
      <c r="A76" s="17"/>
      <c r="N76" s="21" t="s">
        <v>746</v>
      </c>
      <c r="O76" s="19" t="s">
        <v>753</v>
      </c>
      <c r="P76" s="21" t="s">
        <v>638</v>
      </c>
      <c r="R76" s="19" t="s">
        <v>674</v>
      </c>
      <c r="S76" s="21" t="s">
        <v>602</v>
      </c>
      <c r="T76" s="30" t="s">
        <v>602</v>
      </c>
      <c r="W76" s="21" t="s">
        <v>701</v>
      </c>
      <c r="X76" s="30" t="s">
        <v>596</v>
      </c>
      <c r="Y76" s="21" t="s">
        <v>655</v>
      </c>
      <c r="Z76" s="74" t="s">
        <v>755</v>
      </c>
      <c r="AB76" s="21" t="s">
        <v>654</v>
      </c>
      <c r="AC76" s="19" t="s">
        <v>756</v>
      </c>
      <c r="AF76" s="21" t="s">
        <v>609</v>
      </c>
      <c r="AH76" s="21" t="s">
        <v>746</v>
      </c>
      <c r="AI76" s="21" t="s">
        <v>757</v>
      </c>
      <c r="AJ76" s="19" t="s">
        <v>758</v>
      </c>
      <c r="AK76" s="19" t="s">
        <v>759</v>
      </c>
      <c r="AL76" s="19" t="s">
        <v>659</v>
      </c>
      <c r="AM76" s="21" t="s">
        <v>654</v>
      </c>
      <c r="AO76" s="21" t="s">
        <v>760</v>
      </c>
      <c r="AP76" s="21" t="s">
        <v>761</v>
      </c>
      <c r="AQ76" s="19" t="s">
        <v>689</v>
      </c>
      <c r="AR76" s="21" t="s">
        <v>706</v>
      </c>
      <c r="AS76" s="21" t="s">
        <v>762</v>
      </c>
      <c r="AT76" s="19" t="s">
        <v>689</v>
      </c>
      <c r="AU76" s="21" t="s">
        <v>760</v>
      </c>
      <c r="AV76" s="21" t="s">
        <v>594</v>
      </c>
      <c r="AW76" s="19" t="s">
        <v>659</v>
      </c>
      <c r="AX76" s="19" t="s">
        <v>763</v>
      </c>
      <c r="AY76" s="19" t="s">
        <v>764</v>
      </c>
      <c r="AZ76" s="19" t="s">
        <v>684</v>
      </c>
      <c r="BB76" s="21" t="s">
        <v>654</v>
      </c>
      <c r="BC76" s="19" t="s">
        <v>765</v>
      </c>
      <c r="BD76" s="22" t="s">
        <v>766</v>
      </c>
      <c r="BE76" s="21" t="s">
        <v>773</v>
      </c>
      <c r="BG76" s="22" t="s">
        <v>767</v>
      </c>
      <c r="BJ76" s="22" t="s">
        <v>4054</v>
      </c>
      <c r="BK76" s="21" t="s">
        <v>669</v>
      </c>
      <c r="BL76" s="21" t="s">
        <v>738</v>
      </c>
    </row>
    <row r="77" spans="1:70" x14ac:dyDescent="0.25">
      <c r="A77" s="2"/>
      <c r="N77" s="21" t="s">
        <v>761</v>
      </c>
      <c r="O77" s="21" t="s">
        <v>4031</v>
      </c>
      <c r="P77" s="21" t="s">
        <v>706</v>
      </c>
      <c r="R77" s="21" t="s">
        <v>686</v>
      </c>
      <c r="S77" s="30" t="s">
        <v>607</v>
      </c>
      <c r="T77" s="19" t="s">
        <v>702</v>
      </c>
      <c r="X77" s="22" t="s">
        <v>625</v>
      </c>
      <c r="Y77" s="19" t="s">
        <v>612</v>
      </c>
      <c r="Z77" s="19" t="s">
        <v>710</v>
      </c>
      <c r="AB77" s="19" t="s">
        <v>768</v>
      </c>
      <c r="AC77" s="19" t="s">
        <v>687</v>
      </c>
      <c r="AH77" s="21" t="s">
        <v>638</v>
      </c>
      <c r="AI77" s="21" t="s">
        <v>769</v>
      </c>
      <c r="AJ77" s="21" t="s">
        <v>594</v>
      </c>
      <c r="AK77" s="19" t="s">
        <v>770</v>
      </c>
      <c r="AL77" s="19" t="s">
        <v>771</v>
      </c>
      <c r="AM77" s="19" t="s">
        <v>772</v>
      </c>
      <c r="AO77" s="19" t="s">
        <v>645</v>
      </c>
      <c r="AP77" s="19" t="s">
        <v>773</v>
      </c>
      <c r="AQ77" s="21" t="s">
        <v>654</v>
      </c>
      <c r="AR77" s="21" t="s">
        <v>639</v>
      </c>
      <c r="AS77" s="19" t="s">
        <v>774</v>
      </c>
      <c r="AT77" s="19" t="s">
        <v>632</v>
      </c>
      <c r="AU77" s="21" t="s">
        <v>611</v>
      </c>
      <c r="AV77" s="22" t="s">
        <v>632</v>
      </c>
      <c r="AW77" s="19" t="s">
        <v>775</v>
      </c>
      <c r="AX77" s="19" t="s">
        <v>776</v>
      </c>
      <c r="AY77" s="21" t="s">
        <v>777</v>
      </c>
      <c r="AZ77" s="22" t="s">
        <v>603</v>
      </c>
      <c r="BB77" s="21" t="s">
        <v>594</v>
      </c>
      <c r="BC77" s="21" t="s">
        <v>759</v>
      </c>
      <c r="BD77" s="21" t="s">
        <v>778</v>
      </c>
      <c r="BE77" s="21" t="s">
        <v>4047</v>
      </c>
      <c r="BG77" s="19" t="s">
        <v>779</v>
      </c>
      <c r="BJ77" s="22" t="s">
        <v>4096</v>
      </c>
      <c r="BK77" s="19" t="s">
        <v>3014</v>
      </c>
      <c r="BL77" s="19" t="s">
        <v>674</v>
      </c>
    </row>
    <row r="78" spans="1:70" x14ac:dyDescent="0.25">
      <c r="N78" s="21" t="s">
        <v>633</v>
      </c>
      <c r="P78" s="19" t="s">
        <v>664</v>
      </c>
      <c r="X78" s="21" t="s">
        <v>678</v>
      </c>
      <c r="Y78" s="19" t="s">
        <v>780</v>
      </c>
      <c r="Z78" s="21" t="s">
        <v>654</v>
      </c>
      <c r="AB78" s="21" t="s">
        <v>678</v>
      </c>
      <c r="AC78" s="22" t="s">
        <v>625</v>
      </c>
      <c r="AH78" s="21" t="s">
        <v>706</v>
      </c>
      <c r="AI78" s="19" t="s">
        <v>781</v>
      </c>
      <c r="AJ78" s="21" t="s">
        <v>654</v>
      </c>
      <c r="AK78" s="21" t="s">
        <v>673</v>
      </c>
      <c r="AL78" s="21" t="s">
        <v>782</v>
      </c>
      <c r="AM78" s="19" t="s">
        <v>605</v>
      </c>
      <c r="AO78" s="19" t="s">
        <v>783</v>
      </c>
      <c r="AP78" s="19" t="s">
        <v>784</v>
      </c>
      <c r="AQ78" s="21" t="s">
        <v>594</v>
      </c>
      <c r="AR78" s="22" t="s">
        <v>625</v>
      </c>
      <c r="AS78" s="21" t="s">
        <v>786</v>
      </c>
      <c r="AT78" s="21" t="s">
        <v>706</v>
      </c>
      <c r="AU78" s="19" t="s">
        <v>787</v>
      </c>
      <c r="AV78" s="19" t="s">
        <v>687</v>
      </c>
      <c r="AW78" s="21" t="s">
        <v>788</v>
      </c>
      <c r="AX78" s="19" t="s">
        <v>789</v>
      </c>
      <c r="AY78" s="19" t="s">
        <v>790</v>
      </c>
      <c r="AZ78" s="21" t="s">
        <v>598</v>
      </c>
      <c r="BB78" s="19" t="s">
        <v>689</v>
      </c>
      <c r="BC78" s="19" t="s">
        <v>791</v>
      </c>
      <c r="BD78" s="22" t="s">
        <v>792</v>
      </c>
      <c r="BE78" s="21" t="s">
        <v>739</v>
      </c>
      <c r="BG78" s="19" t="s">
        <v>793</v>
      </c>
      <c r="BJ78" s="21" t="s">
        <v>637</v>
      </c>
      <c r="BK78" s="21" t="s">
        <v>654</v>
      </c>
      <c r="BL78" s="21" t="s">
        <v>654</v>
      </c>
    </row>
    <row r="79" spans="1:70" x14ac:dyDescent="0.25">
      <c r="N79" s="22" t="s">
        <v>794</v>
      </c>
      <c r="P79" s="21" t="s">
        <v>654</v>
      </c>
      <c r="X79" s="19" t="s">
        <v>663</v>
      </c>
      <c r="Y79" s="19" t="s">
        <v>795</v>
      </c>
      <c r="Z79" s="81" t="s">
        <v>767</v>
      </c>
      <c r="AB79" s="19" t="s">
        <v>4149</v>
      </c>
      <c r="AC79" s="19" t="s">
        <v>783</v>
      </c>
      <c r="AH79" s="19" t="s">
        <v>796</v>
      </c>
      <c r="AI79" s="21" t="s">
        <v>655</v>
      </c>
      <c r="AJ79" s="19" t="s">
        <v>797</v>
      </c>
      <c r="AK79" s="21" t="s">
        <v>798</v>
      </c>
      <c r="AL79" s="22" t="s">
        <v>799</v>
      </c>
      <c r="AM79" s="19" t="s">
        <v>596</v>
      </c>
      <c r="AO79" s="21" t="s">
        <v>609</v>
      </c>
      <c r="AP79" s="21" t="s">
        <v>800</v>
      </c>
      <c r="AQ79" s="19" t="s">
        <v>801</v>
      </c>
      <c r="AR79" s="19" t="s">
        <v>636</v>
      </c>
      <c r="AS79" s="21" t="s">
        <v>802</v>
      </c>
      <c r="AT79" s="19" t="s">
        <v>599</v>
      </c>
      <c r="AU79" s="22" t="s">
        <v>803</v>
      </c>
      <c r="AV79" s="19" t="s">
        <v>804</v>
      </c>
      <c r="AW79" s="19" t="s">
        <v>805</v>
      </c>
      <c r="AX79" s="21" t="s">
        <v>806</v>
      </c>
      <c r="AY79" s="19" t="s">
        <v>687</v>
      </c>
      <c r="AZ79" s="19" t="s">
        <v>807</v>
      </c>
      <c r="BB79" s="21" t="s">
        <v>808</v>
      </c>
      <c r="BC79" s="21" t="s">
        <v>751</v>
      </c>
      <c r="BD79" s="19" t="s">
        <v>809</v>
      </c>
      <c r="BE79" s="19" t="s">
        <v>606</v>
      </c>
      <c r="BG79" s="21" t="s">
        <v>654</v>
      </c>
      <c r="BJ79" s="19" t="s">
        <v>4142</v>
      </c>
      <c r="BK79" s="21" t="s">
        <v>594</v>
      </c>
      <c r="BL79" s="21" t="s">
        <v>594</v>
      </c>
    </row>
    <row r="80" spans="1:70" x14ac:dyDescent="0.25">
      <c r="N80" s="21" t="s">
        <v>810</v>
      </c>
      <c r="P80" s="21" t="s">
        <v>594</v>
      </c>
      <c r="X80" s="21" t="s">
        <v>811</v>
      </c>
      <c r="Y80" s="21" t="s">
        <v>654</v>
      </c>
      <c r="Z80" s="19" t="s">
        <v>703</v>
      </c>
      <c r="AB80" s="21" t="s">
        <v>702</v>
      </c>
      <c r="AC80" s="19" t="s">
        <v>812</v>
      </c>
      <c r="AH80" s="21" t="s">
        <v>659</v>
      </c>
      <c r="AI80" s="135" t="s">
        <v>655</v>
      </c>
      <c r="AJ80" s="21" t="s">
        <v>639</v>
      </c>
      <c r="AK80" s="19" t="s">
        <v>813</v>
      </c>
      <c r="AL80" s="19" t="s">
        <v>658</v>
      </c>
      <c r="AM80" s="19" t="s">
        <v>814</v>
      </c>
      <c r="AO80" s="21" t="s">
        <v>703</v>
      </c>
      <c r="AP80" s="19" t="s">
        <v>689</v>
      </c>
      <c r="AQ80" s="21" t="s">
        <v>757</v>
      </c>
      <c r="AR80" s="21" t="s">
        <v>611</v>
      </c>
      <c r="AS80" s="21" t="s">
        <v>596</v>
      </c>
      <c r="AT80" s="21" t="s">
        <v>816</v>
      </c>
      <c r="AV80" s="21" t="s">
        <v>706</v>
      </c>
      <c r="AW80" s="21" t="s">
        <v>594</v>
      </c>
      <c r="AX80" s="22" t="s">
        <v>623</v>
      </c>
      <c r="AY80" s="19" t="s">
        <v>629</v>
      </c>
      <c r="AZ80" s="21" t="s">
        <v>654</v>
      </c>
      <c r="BB80" s="22" t="s">
        <v>621</v>
      </c>
      <c r="BC80" s="22" t="s">
        <v>817</v>
      </c>
      <c r="BD80" s="21" t="s">
        <v>654</v>
      </c>
      <c r="BE80" s="21" t="s">
        <v>4109</v>
      </c>
      <c r="BG80" s="21" t="s">
        <v>594</v>
      </c>
      <c r="BJ80" s="19" t="s">
        <v>4202</v>
      </c>
      <c r="BK80" s="21" t="s">
        <v>4177</v>
      </c>
      <c r="BL80" s="21" t="s">
        <v>4009</v>
      </c>
    </row>
    <row r="81" spans="14:64" x14ac:dyDescent="0.25">
      <c r="N81" s="21" t="s">
        <v>703</v>
      </c>
      <c r="P81" s="19" t="s">
        <v>600</v>
      </c>
      <c r="Y81" s="16" t="s">
        <v>605</v>
      </c>
      <c r="Z81" s="74" t="s">
        <v>818</v>
      </c>
      <c r="AB81" s="21" t="s">
        <v>819</v>
      </c>
      <c r="AC81" s="21" t="s">
        <v>680</v>
      </c>
      <c r="AH81" s="19" t="s">
        <v>820</v>
      </c>
      <c r="AI81" s="19" t="s">
        <v>600</v>
      </c>
      <c r="AJ81" s="19" t="s">
        <v>673</v>
      </c>
      <c r="AK81" s="21" t="s">
        <v>746</v>
      </c>
      <c r="AL81" s="19" t="s">
        <v>821</v>
      </c>
      <c r="AM81" s="19" t="s">
        <v>651</v>
      </c>
      <c r="AO81" s="21" t="s">
        <v>822</v>
      </c>
      <c r="AP81" s="21" t="s">
        <v>823</v>
      </c>
      <c r="AQ81" s="21" t="s">
        <v>824</v>
      </c>
      <c r="AR81" s="21" t="s">
        <v>673</v>
      </c>
      <c r="AS81" s="21" t="s">
        <v>711</v>
      </c>
      <c r="AT81" s="21" t="s">
        <v>650</v>
      </c>
      <c r="AV81" s="21" t="s">
        <v>673</v>
      </c>
      <c r="AW81" s="21" t="s">
        <v>654</v>
      </c>
      <c r="AX81" s="19" t="s">
        <v>687</v>
      </c>
      <c r="AY81" s="19" t="s">
        <v>822</v>
      </c>
      <c r="AZ81" s="88" t="s">
        <v>594</v>
      </c>
      <c r="BB81" s="21" t="s">
        <v>694</v>
      </c>
      <c r="BC81" s="21" t="s">
        <v>594</v>
      </c>
      <c r="BD81" s="21" t="s">
        <v>594</v>
      </c>
      <c r="BE81" s="21" t="s">
        <v>654</v>
      </c>
      <c r="BG81" s="19" t="s">
        <v>689</v>
      </c>
      <c r="BJ81" s="21" t="s">
        <v>4204</v>
      </c>
      <c r="BL81" s="21" t="s">
        <v>4003</v>
      </c>
    </row>
    <row r="82" spans="14:64" x14ac:dyDescent="0.25">
      <c r="N82" s="21" t="s">
        <v>774</v>
      </c>
      <c r="P82" s="21" t="s">
        <v>605</v>
      </c>
      <c r="Y82" s="19" t="s">
        <v>744</v>
      </c>
      <c r="Z82" s="19" t="s">
        <v>608</v>
      </c>
      <c r="AB82" s="19" t="s">
        <v>825</v>
      </c>
      <c r="AC82" s="19" t="s">
        <v>681</v>
      </c>
      <c r="AH82" s="19" t="s">
        <v>689</v>
      </c>
      <c r="AI82" s="21" t="s">
        <v>594</v>
      </c>
      <c r="AJ82" s="19" t="s">
        <v>708</v>
      </c>
      <c r="AK82" s="21" t="s">
        <v>638</v>
      </c>
      <c r="AL82" s="19" t="s">
        <v>611</v>
      </c>
      <c r="AM82" s="21" t="s">
        <v>816</v>
      </c>
      <c r="AO82" s="21" t="s">
        <v>826</v>
      </c>
      <c r="AP82" s="19" t="s">
        <v>635</v>
      </c>
      <c r="AQ82" s="21" t="s">
        <v>802</v>
      </c>
      <c r="AR82" s="21" t="s">
        <v>684</v>
      </c>
      <c r="AS82" s="21" t="s">
        <v>827</v>
      </c>
      <c r="AT82" s="21" t="s">
        <v>761</v>
      </c>
      <c r="AV82" s="19" t="s">
        <v>689</v>
      </c>
      <c r="AW82" s="19" t="s">
        <v>596</v>
      </c>
      <c r="AX82" s="19" t="s">
        <v>747</v>
      </c>
      <c r="AY82" s="19" t="s">
        <v>784</v>
      </c>
      <c r="AZ82" s="19" t="s">
        <v>658</v>
      </c>
      <c r="BB82" s="19" t="s">
        <v>689</v>
      </c>
      <c r="BC82" s="21" t="s">
        <v>654</v>
      </c>
      <c r="BD82" s="21" t="s">
        <v>828</v>
      </c>
      <c r="BE82" s="21" t="s">
        <v>594</v>
      </c>
      <c r="BG82" s="21" t="s">
        <v>829</v>
      </c>
      <c r="BJ82" s="22" t="s">
        <v>4025</v>
      </c>
      <c r="BL82" s="19" t="s">
        <v>636</v>
      </c>
    </row>
    <row r="83" spans="14:64" x14ac:dyDescent="0.25">
      <c r="P83" s="19" t="s">
        <v>678</v>
      </c>
      <c r="Y83" s="21" t="s">
        <v>739</v>
      </c>
      <c r="Z83" s="19" t="s">
        <v>605</v>
      </c>
      <c r="AB83" s="21" t="s">
        <v>830</v>
      </c>
      <c r="AC83" s="82" t="s">
        <v>663</v>
      </c>
      <c r="AH83" s="21" t="s">
        <v>742</v>
      </c>
      <c r="AI83" s="21" t="s">
        <v>637</v>
      </c>
      <c r="AJ83" s="21" t="s">
        <v>806</v>
      </c>
      <c r="AK83" s="21" t="s">
        <v>706</v>
      </c>
      <c r="AL83" s="19" t="s">
        <v>636</v>
      </c>
      <c r="AM83" s="22" t="s">
        <v>625</v>
      </c>
      <c r="AO83" s="21" t="s">
        <v>654</v>
      </c>
      <c r="AP83" s="19" t="s">
        <v>765</v>
      </c>
      <c r="AQ83" s="19" t="s">
        <v>702</v>
      </c>
      <c r="AR83" s="19" t="s">
        <v>831</v>
      </c>
      <c r="AS83" s="21" t="s">
        <v>798</v>
      </c>
      <c r="AT83" s="21" t="s">
        <v>746</v>
      </c>
      <c r="AV83" s="21" t="s">
        <v>738</v>
      </c>
      <c r="AX83" s="21" t="s">
        <v>594</v>
      </c>
      <c r="AY83" s="21" t="s">
        <v>703</v>
      </c>
      <c r="AZ83" s="21" t="s">
        <v>706</v>
      </c>
      <c r="BB83" s="19" t="s">
        <v>599</v>
      </c>
      <c r="BC83" s="21" t="s">
        <v>832</v>
      </c>
      <c r="BD83" s="22" t="s">
        <v>833</v>
      </c>
      <c r="BE83" s="21" t="s">
        <v>4144</v>
      </c>
      <c r="BG83" s="21" t="s">
        <v>834</v>
      </c>
      <c r="BJ83" s="19" t="s">
        <v>603</v>
      </c>
      <c r="BL83" s="19" t="s">
        <v>4047</v>
      </c>
    </row>
    <row r="84" spans="14:64" x14ac:dyDescent="0.25">
      <c r="P84" s="19" t="s">
        <v>689</v>
      </c>
      <c r="Y84" s="21" t="s">
        <v>714</v>
      </c>
      <c r="Z84" s="21" t="s">
        <v>702</v>
      </c>
      <c r="AH84" s="21" t="s">
        <v>810</v>
      </c>
      <c r="AI84" s="19" t="s">
        <v>835</v>
      </c>
      <c r="AJ84" s="19" t="s">
        <v>836</v>
      </c>
      <c r="AK84" s="19" t="s">
        <v>837</v>
      </c>
      <c r="AL84" s="19" t="s">
        <v>600</v>
      </c>
      <c r="AM84" s="19" t="s">
        <v>757</v>
      </c>
      <c r="AO84" s="21" t="s">
        <v>594</v>
      </c>
      <c r="AP84" s="19" t="s">
        <v>688</v>
      </c>
      <c r="AQ84" s="19" t="s">
        <v>653</v>
      </c>
      <c r="AR84" s="21" t="s">
        <v>703</v>
      </c>
      <c r="AS84" s="21" t="s">
        <v>654</v>
      </c>
      <c r="AT84" s="21" t="s">
        <v>757</v>
      </c>
      <c r="AX84" s="21" t="s">
        <v>654</v>
      </c>
      <c r="AY84" s="21" t="s">
        <v>654</v>
      </c>
      <c r="AZ84" s="19" t="s">
        <v>838</v>
      </c>
      <c r="BB84" s="21" t="s">
        <v>714</v>
      </c>
      <c r="BC84" s="19" t="s">
        <v>702</v>
      </c>
      <c r="BD84" s="21" t="s">
        <v>839</v>
      </c>
      <c r="BE84" s="19" t="s">
        <v>784</v>
      </c>
      <c r="BG84" s="21" t="s">
        <v>728</v>
      </c>
      <c r="BL84" s="21" t="s">
        <v>602</v>
      </c>
    </row>
    <row r="85" spans="14:64" x14ac:dyDescent="0.25">
      <c r="P85" s="21" t="s">
        <v>4115</v>
      </c>
      <c r="Y85" s="22" t="s">
        <v>599</v>
      </c>
      <c r="Z85" s="21" t="s">
        <v>832</v>
      </c>
      <c r="AH85" s="21" t="s">
        <v>810</v>
      </c>
      <c r="AI85" s="21" t="s">
        <v>654</v>
      </c>
      <c r="AJ85" s="74" t="s">
        <v>840</v>
      </c>
      <c r="AK85" s="21" t="s">
        <v>841</v>
      </c>
      <c r="AL85" s="62" t="s">
        <v>677</v>
      </c>
      <c r="AM85" s="21" t="s">
        <v>609</v>
      </c>
      <c r="AO85" s="19" t="s">
        <v>4082</v>
      </c>
      <c r="AP85" s="21" t="s">
        <v>654</v>
      </c>
      <c r="AQ85" s="21" t="s">
        <v>873</v>
      </c>
      <c r="AR85" s="21" t="s">
        <v>738</v>
      </c>
      <c r="AS85" s="21" t="s">
        <v>594</v>
      </c>
      <c r="AT85" s="19" t="s">
        <v>842</v>
      </c>
      <c r="AX85" s="21" t="s">
        <v>695</v>
      </c>
      <c r="AY85" s="21" t="s">
        <v>594</v>
      </c>
      <c r="AZ85" s="22" t="s">
        <v>642</v>
      </c>
      <c r="BB85" s="19" t="s">
        <v>843</v>
      </c>
      <c r="BC85" s="19" t="s">
        <v>689</v>
      </c>
      <c r="BD85" s="22" t="s">
        <v>618</v>
      </c>
      <c r="BG85" s="22" t="s">
        <v>844</v>
      </c>
      <c r="BL85" s="19" t="s">
        <v>702</v>
      </c>
    </row>
    <row r="86" spans="14:64" x14ac:dyDescent="0.25">
      <c r="P86" s="19" t="s">
        <v>616</v>
      </c>
      <c r="Y86" s="30" t="s">
        <v>711</v>
      </c>
      <c r="Z86" s="21" t="s">
        <v>802</v>
      </c>
      <c r="AH86" s="22" t="s">
        <v>4054</v>
      </c>
      <c r="AI86" s="19" t="s">
        <v>650</v>
      </c>
      <c r="AJ86" s="19" t="s">
        <v>687</v>
      </c>
      <c r="AK86" s="21" t="s">
        <v>654</v>
      </c>
      <c r="AL86" s="21" t="s">
        <v>654</v>
      </c>
      <c r="AO86" s="19" t="s">
        <v>605</v>
      </c>
      <c r="AP86" s="21" t="s">
        <v>594</v>
      </c>
      <c r="AQ86" s="21" t="s">
        <v>881</v>
      </c>
      <c r="AR86" s="19" t="s">
        <v>644</v>
      </c>
      <c r="AS86" s="19" t="s">
        <v>689</v>
      </c>
      <c r="AT86" s="21" t="s">
        <v>742</v>
      </c>
      <c r="AX86" s="19" t="s">
        <v>632</v>
      </c>
      <c r="AY86" s="19" t="s">
        <v>809</v>
      </c>
      <c r="AZ86" s="19" t="s">
        <v>841</v>
      </c>
      <c r="BB86" s="19" t="s">
        <v>689</v>
      </c>
      <c r="BC86" s="21" t="s">
        <v>731</v>
      </c>
      <c r="BD86" s="21" t="s">
        <v>659</v>
      </c>
      <c r="BL86" s="19" t="s">
        <v>605</v>
      </c>
    </row>
    <row r="87" spans="14:64" x14ac:dyDescent="0.25">
      <c r="P87" s="22" t="s">
        <v>4054</v>
      </c>
      <c r="Y87" s="21" t="s">
        <v>702</v>
      </c>
      <c r="Z87" s="21" t="s">
        <v>602</v>
      </c>
      <c r="AH87" s="21" t="s">
        <v>681</v>
      </c>
      <c r="AI87" s="19" t="s">
        <v>845</v>
      </c>
      <c r="AJ87" s="22" t="s">
        <v>608</v>
      </c>
      <c r="AK87" s="21" t="s">
        <v>594</v>
      </c>
      <c r="AL87" s="21" t="s">
        <v>594</v>
      </c>
      <c r="AO87" s="21" t="s">
        <v>849</v>
      </c>
      <c r="AP87" s="21" t="s">
        <v>4007</v>
      </c>
      <c r="AQ87" s="21" t="s">
        <v>883</v>
      </c>
      <c r="AR87" s="19" t="s">
        <v>3996</v>
      </c>
      <c r="AS87" s="21" t="s">
        <v>846</v>
      </c>
      <c r="AX87" s="22" t="s">
        <v>608</v>
      </c>
      <c r="AY87" s="19" t="s">
        <v>689</v>
      </c>
      <c r="AZ87" s="19" t="s">
        <v>847</v>
      </c>
      <c r="BB87" s="21" t="s">
        <v>702</v>
      </c>
      <c r="BD87" s="22" t="s">
        <v>848</v>
      </c>
    </row>
    <row r="88" spans="14:64" x14ac:dyDescent="0.25">
      <c r="P88" s="21" t="s">
        <v>653</v>
      </c>
      <c r="Y88" s="21" t="s">
        <v>832</v>
      </c>
      <c r="Z88" s="21" t="s">
        <v>849</v>
      </c>
      <c r="AH88" s="21" t="s">
        <v>724</v>
      </c>
      <c r="AJ88" s="19" t="s">
        <v>621</v>
      </c>
      <c r="AK88" s="19" t="s">
        <v>809</v>
      </c>
      <c r="AL88" s="22" t="s">
        <v>642</v>
      </c>
      <c r="AO88" s="19" t="s">
        <v>702</v>
      </c>
      <c r="AP88" s="21" t="s">
        <v>602</v>
      </c>
      <c r="AQ88" s="19" t="s">
        <v>605</v>
      </c>
      <c r="AR88" s="19" t="s">
        <v>663</v>
      </c>
      <c r="AS88" s="19" t="s">
        <v>850</v>
      </c>
      <c r="AX88" s="21" t="s">
        <v>655</v>
      </c>
      <c r="AY88" s="21" t="s">
        <v>602</v>
      </c>
      <c r="AZ88" s="21" t="s">
        <v>681</v>
      </c>
      <c r="BB88" s="21" t="s">
        <v>851</v>
      </c>
      <c r="BD88" s="21" t="s">
        <v>746</v>
      </c>
    </row>
    <row r="89" spans="14:64" x14ac:dyDescent="0.25">
      <c r="P89" s="21" t="s">
        <v>739</v>
      </c>
      <c r="Q89" s="13"/>
      <c r="Y89" s="19" t="s">
        <v>689</v>
      </c>
      <c r="Z89" s="21" t="s">
        <v>867</v>
      </c>
      <c r="AJ89" s="19" t="s">
        <v>821</v>
      </c>
      <c r="AK89" s="21" t="s">
        <v>828</v>
      </c>
      <c r="AL89" s="22" t="s">
        <v>642</v>
      </c>
      <c r="AO89" s="21" t="s">
        <v>4144</v>
      </c>
      <c r="AP89" s="21" t="s">
        <v>702</v>
      </c>
      <c r="AQ89" s="19" t="s">
        <v>4036</v>
      </c>
      <c r="AR89" s="21" t="s">
        <v>654</v>
      </c>
      <c r="AS89" s="21" t="s">
        <v>602</v>
      </c>
      <c r="AX89" s="21" t="s">
        <v>680</v>
      </c>
      <c r="AY89" s="21" t="s">
        <v>853</v>
      </c>
      <c r="AZ89" s="21" t="s">
        <v>852</v>
      </c>
      <c r="BB89" s="22" t="s">
        <v>688</v>
      </c>
      <c r="BD89" s="65" t="s">
        <v>618</v>
      </c>
    </row>
    <row r="90" spans="14:64" x14ac:dyDescent="0.25">
      <c r="P90" s="19" t="s">
        <v>782</v>
      </c>
      <c r="Q90" s="13"/>
      <c r="Y90" s="21" t="s">
        <v>602</v>
      </c>
      <c r="Z90" s="21" t="s">
        <v>810</v>
      </c>
      <c r="AJ90" s="19" t="s">
        <v>774</v>
      </c>
      <c r="AK90" s="22" t="s">
        <v>608</v>
      </c>
      <c r="AL90" s="22" t="s">
        <v>625</v>
      </c>
      <c r="AP90" s="21" t="s">
        <v>4144</v>
      </c>
      <c r="AQ90" s="21" t="s">
        <v>870</v>
      </c>
      <c r="AR90" s="21" t="s">
        <v>594</v>
      </c>
      <c r="AS90" s="21" t="s">
        <v>853</v>
      </c>
      <c r="AX90" s="21" t="s">
        <v>774</v>
      </c>
      <c r="AY90" s="21" t="s">
        <v>802</v>
      </c>
      <c r="AZ90" s="21" t="s">
        <v>854</v>
      </c>
      <c r="BB90" s="21" t="s">
        <v>702</v>
      </c>
      <c r="BD90" s="21" t="s">
        <v>706</v>
      </c>
    </row>
    <row r="91" spans="14:64" x14ac:dyDescent="0.25">
      <c r="P91" s="21" t="s">
        <v>849</v>
      </c>
      <c r="Q91" s="13"/>
      <c r="Y91" s="21" t="s">
        <v>849</v>
      </c>
      <c r="Z91" s="21" t="s">
        <v>810</v>
      </c>
      <c r="AJ91" s="19" t="s">
        <v>727</v>
      </c>
      <c r="AK91" s="19" t="s">
        <v>702</v>
      </c>
      <c r="AL91" s="21" t="s">
        <v>855</v>
      </c>
      <c r="AQ91" s="21" t="s">
        <v>749</v>
      </c>
      <c r="AR91" s="19" t="s">
        <v>4062</v>
      </c>
      <c r="AS91" s="21" t="s">
        <v>802</v>
      </c>
      <c r="AX91" s="19" t="s">
        <v>689</v>
      </c>
      <c r="AY91" s="21" t="s">
        <v>1786</v>
      </c>
      <c r="AZ91" s="21" t="s">
        <v>856</v>
      </c>
      <c r="BB91" s="19" t="s">
        <v>857</v>
      </c>
      <c r="BD91" s="19" t="s">
        <v>858</v>
      </c>
    </row>
    <row r="92" spans="14:64" x14ac:dyDescent="0.25">
      <c r="P92" s="19" t="s">
        <v>702</v>
      </c>
      <c r="Q92" s="13"/>
      <c r="Y92" s="19" t="s">
        <v>616</v>
      </c>
      <c r="Z92" s="19" t="s">
        <v>4034</v>
      </c>
      <c r="AK92" s="19" t="s">
        <v>784</v>
      </c>
      <c r="AQ92" s="21" t="s">
        <v>720</v>
      </c>
      <c r="AR92" s="21" t="s">
        <v>602</v>
      </c>
      <c r="AS92" s="19" t="s">
        <v>702</v>
      </c>
      <c r="AX92" s="139" t="s">
        <v>859</v>
      </c>
      <c r="AY92" s="21" t="s">
        <v>4088</v>
      </c>
      <c r="AZ92" s="21" t="s">
        <v>860</v>
      </c>
      <c r="BB92" s="19" t="s">
        <v>861</v>
      </c>
      <c r="BD92" s="22" t="s">
        <v>862</v>
      </c>
    </row>
    <row r="93" spans="14:64" x14ac:dyDescent="0.25">
      <c r="P93" s="21" t="s">
        <v>602</v>
      </c>
      <c r="Q93" s="13"/>
      <c r="Y93" s="21" t="s">
        <v>863</v>
      </c>
      <c r="Z93" s="21" t="s">
        <v>865</v>
      </c>
      <c r="AK93" s="19" t="s">
        <v>864</v>
      </c>
      <c r="AQ93" s="21" t="s">
        <v>673</v>
      </c>
      <c r="AR93" s="19" t="s">
        <v>702</v>
      </c>
      <c r="AS93" s="21" t="s">
        <v>3994</v>
      </c>
      <c r="AY93" s="21" t="s">
        <v>633</v>
      </c>
      <c r="AZ93" s="21" t="s">
        <v>865</v>
      </c>
      <c r="BB93" s="22" t="s">
        <v>671</v>
      </c>
      <c r="BD93" s="21" t="s">
        <v>866</v>
      </c>
    </row>
    <row r="94" spans="14:64" x14ac:dyDescent="0.25">
      <c r="P94" s="21" t="s">
        <v>802</v>
      </c>
      <c r="Q94" s="13"/>
      <c r="AK94" s="19" t="s">
        <v>867</v>
      </c>
      <c r="AQ94" s="19" t="s">
        <v>702</v>
      </c>
      <c r="AR94" s="21" t="s">
        <v>880</v>
      </c>
      <c r="AY94" s="21" t="s">
        <v>2874</v>
      </c>
      <c r="BB94" s="21" t="s">
        <v>653</v>
      </c>
      <c r="BD94" s="19" t="s">
        <v>868</v>
      </c>
    </row>
    <row r="95" spans="14:64" x14ac:dyDescent="0.25">
      <c r="P95" s="21" t="s">
        <v>4146</v>
      </c>
      <c r="Q95" s="13"/>
      <c r="AQ95" s="21" t="s">
        <v>658</v>
      </c>
      <c r="AR95" s="21" t="s">
        <v>860</v>
      </c>
      <c r="AY95" s="21" t="s">
        <v>838</v>
      </c>
      <c r="BB95" s="21" t="s">
        <v>658</v>
      </c>
      <c r="BD95" s="21" t="s">
        <v>869</v>
      </c>
    </row>
    <row r="96" spans="14:64" x14ac:dyDescent="0.25">
      <c r="P96" s="19" t="s">
        <v>607</v>
      </c>
      <c r="Q96" s="13"/>
      <c r="AQ96" s="21" t="s">
        <v>882</v>
      </c>
      <c r="AR96" s="21" t="s">
        <v>657</v>
      </c>
      <c r="AY96" s="21" t="s">
        <v>4126</v>
      </c>
      <c r="BB96" s="21" t="s">
        <v>870</v>
      </c>
      <c r="BD96" s="21" t="s">
        <v>702</v>
      </c>
    </row>
    <row r="97" spans="16:56" x14ac:dyDescent="0.25">
      <c r="P97" s="19" t="s">
        <v>649</v>
      </c>
      <c r="Q97" s="13"/>
      <c r="AQ97" s="21" t="s">
        <v>4150</v>
      </c>
      <c r="AR97" s="21" t="s">
        <v>877</v>
      </c>
      <c r="AY97" s="21" t="s">
        <v>4127</v>
      </c>
      <c r="BB97" s="21" t="s">
        <v>871</v>
      </c>
      <c r="BD97" s="21" t="s">
        <v>602</v>
      </c>
    </row>
    <row r="98" spans="16:56" x14ac:dyDescent="0.25">
      <c r="Q98" s="13"/>
      <c r="AR98" s="21" t="s">
        <v>865</v>
      </c>
      <c r="AY98" s="19" t="s">
        <v>774</v>
      </c>
      <c r="BB98" s="21" t="s">
        <v>594</v>
      </c>
      <c r="BD98" s="19" t="s">
        <v>666</v>
      </c>
    </row>
    <row r="99" spans="16:56" x14ac:dyDescent="0.25">
      <c r="Q99" s="13"/>
      <c r="AR99" s="21" t="s">
        <v>4150</v>
      </c>
      <c r="AY99" s="21" t="s">
        <v>638</v>
      </c>
      <c r="BB99" s="21" t="s">
        <v>673</v>
      </c>
      <c r="BD99" s="21" t="s">
        <v>872</v>
      </c>
    </row>
    <row r="100" spans="16:56" x14ac:dyDescent="0.25">
      <c r="Q100" s="13"/>
      <c r="AR100" s="21" t="s">
        <v>874</v>
      </c>
      <c r="BB100" s="21" t="s">
        <v>757</v>
      </c>
      <c r="BD100" s="21" t="s">
        <v>594</v>
      </c>
    </row>
    <row r="101" spans="16:56" x14ac:dyDescent="0.25">
      <c r="Q101" s="13"/>
      <c r="BB101" s="21" t="s">
        <v>870</v>
      </c>
      <c r="BD101" s="21" t="s">
        <v>728</v>
      </c>
    </row>
    <row r="102" spans="16:56" x14ac:dyDescent="0.25">
      <c r="Q102" s="13"/>
      <c r="BB102" s="21" t="s">
        <v>605</v>
      </c>
      <c r="BD102" s="21" t="s">
        <v>653</v>
      </c>
    </row>
    <row r="103" spans="16:56" x14ac:dyDescent="0.25">
      <c r="Q103" s="13"/>
      <c r="BB103" s="21" t="s">
        <v>873</v>
      </c>
      <c r="BD103" s="19" t="s">
        <v>689</v>
      </c>
    </row>
    <row r="104" spans="16:56" x14ac:dyDescent="0.25">
      <c r="Q104" s="13"/>
      <c r="BB104" s="21" t="s">
        <v>874</v>
      </c>
      <c r="BD104" s="21" t="s">
        <v>875</v>
      </c>
    </row>
    <row r="105" spans="16:56" x14ac:dyDescent="0.25">
      <c r="BB105" s="21" t="s">
        <v>865</v>
      </c>
      <c r="BD105" s="19" t="s">
        <v>876</v>
      </c>
    </row>
    <row r="106" spans="16:56" x14ac:dyDescent="0.25">
      <c r="BB106" s="21" t="s">
        <v>877</v>
      </c>
      <c r="BD106" s="19" t="s">
        <v>878</v>
      </c>
    </row>
    <row r="107" spans="16:56" x14ac:dyDescent="0.25">
      <c r="BB107" s="21" t="s">
        <v>879</v>
      </c>
    </row>
    <row r="108" spans="16:56" x14ac:dyDescent="0.25">
      <c r="BB108" s="21" t="s">
        <v>860</v>
      </c>
    </row>
    <row r="109" spans="16:56" x14ac:dyDescent="0.25">
      <c r="BB109" s="21" t="s">
        <v>880</v>
      </c>
    </row>
    <row r="110" spans="16:56" x14ac:dyDescent="0.25">
      <c r="BB110" s="21" t="s">
        <v>881</v>
      </c>
    </row>
    <row r="111" spans="16:56" x14ac:dyDescent="0.25">
      <c r="BB111" s="21" t="s">
        <v>882</v>
      </c>
    </row>
    <row r="112" spans="16:56" x14ac:dyDescent="0.25">
      <c r="BB112" s="21" t="s">
        <v>883</v>
      </c>
    </row>
    <row r="113" spans="54:54" x14ac:dyDescent="0.25">
      <c r="BB113" s="21" t="s">
        <v>749</v>
      </c>
    </row>
    <row r="114" spans="54:54" x14ac:dyDescent="0.25">
      <c r="BB114" s="21" t="s">
        <v>764</v>
      </c>
    </row>
    <row r="115" spans="54:54" x14ac:dyDescent="0.25">
      <c r="BB115" s="21" t="s">
        <v>720</v>
      </c>
    </row>
    <row r="144" spans="63:63" x14ac:dyDescent="0.25">
      <c r="BK144" s="21" t="s">
        <v>815</v>
      </c>
    </row>
    <row r="145" spans="1:68" x14ac:dyDescent="0.25">
      <c r="BK145" s="21" t="s">
        <v>4006</v>
      </c>
    </row>
    <row r="146" spans="1:68" x14ac:dyDescent="0.25">
      <c r="AP146" s="21" t="s">
        <v>815</v>
      </c>
      <c r="AQ146" s="21" t="s">
        <v>815</v>
      </c>
      <c r="AR146" s="21" t="s">
        <v>815</v>
      </c>
      <c r="BK146" s="21" t="s">
        <v>4026</v>
      </c>
      <c r="BL146" s="21" t="s">
        <v>815</v>
      </c>
    </row>
    <row r="147" spans="1:68" x14ac:dyDescent="0.25">
      <c r="BE147" s="21" t="s">
        <v>815</v>
      </c>
    </row>
    <row r="150" spans="1:68" x14ac:dyDescent="0.25">
      <c r="A150" s="2" t="s">
        <v>884</v>
      </c>
      <c r="B150" s="12" t="s">
        <v>885</v>
      </c>
      <c r="C150" s="103" t="s">
        <v>886</v>
      </c>
      <c r="D150" s="78" t="s">
        <v>887</v>
      </c>
      <c r="E150" s="23" t="s">
        <v>888</v>
      </c>
      <c r="F150" s="29" t="s">
        <v>889</v>
      </c>
      <c r="G150" s="29" t="s">
        <v>885</v>
      </c>
      <c r="H150" s="103" t="s">
        <v>887</v>
      </c>
      <c r="I150" s="24" t="s">
        <v>890</v>
      </c>
      <c r="J150" s="103" t="s">
        <v>886</v>
      </c>
      <c r="K150" s="23" t="s">
        <v>891</v>
      </c>
      <c r="L150" s="103" t="s">
        <v>892</v>
      </c>
      <c r="M150" s="78" t="s">
        <v>892</v>
      </c>
      <c r="N150" s="29" t="s">
        <v>893</v>
      </c>
      <c r="O150" s="92" t="s">
        <v>894</v>
      </c>
      <c r="P150" s="29" t="s">
        <v>895</v>
      </c>
      <c r="Q150" s="78" t="s">
        <v>896</v>
      </c>
      <c r="R150" s="92" t="s">
        <v>897</v>
      </c>
      <c r="S150" s="24" t="s">
        <v>898</v>
      </c>
      <c r="T150" s="29" t="s">
        <v>899</v>
      </c>
      <c r="U150" s="93" t="s">
        <v>900</v>
      </c>
      <c r="V150" s="78" t="s">
        <v>888</v>
      </c>
      <c r="W150" s="78" t="s">
        <v>901</v>
      </c>
      <c r="X150" s="29" t="s">
        <v>902</v>
      </c>
      <c r="Y150" s="78" t="s">
        <v>901</v>
      </c>
      <c r="Z150" s="78" t="s">
        <v>896</v>
      </c>
      <c r="AA150" s="29" t="s">
        <v>903</v>
      </c>
      <c r="AB150" s="24" t="s">
        <v>894</v>
      </c>
      <c r="AC150" s="23" t="s">
        <v>904</v>
      </c>
      <c r="AD150" s="23" t="s">
        <v>905</v>
      </c>
      <c r="AE150" s="24" t="s">
        <v>894</v>
      </c>
      <c r="AF150" s="86" t="s">
        <v>906</v>
      </c>
      <c r="AG150" s="29" t="s">
        <v>894</v>
      </c>
      <c r="AH150" s="29" t="s">
        <v>907</v>
      </c>
      <c r="AI150" s="162" t="s">
        <v>894</v>
      </c>
      <c r="AJ150" s="24" t="s">
        <v>908</v>
      </c>
      <c r="AK150" s="24" t="s">
        <v>894</v>
      </c>
      <c r="AL150" s="29" t="s">
        <v>893</v>
      </c>
      <c r="AM150" s="78" t="s">
        <v>909</v>
      </c>
      <c r="AN150" s="24" t="s">
        <v>910</v>
      </c>
      <c r="AO150" s="24" t="s">
        <v>893</v>
      </c>
      <c r="AP150" s="23" t="s">
        <v>911</v>
      </c>
      <c r="AQ150" s="29" t="s">
        <v>912</v>
      </c>
      <c r="AR150" s="23" t="s">
        <v>888</v>
      </c>
      <c r="AS150" s="77" t="s">
        <v>893</v>
      </c>
      <c r="AT150" s="92" t="s">
        <v>913</v>
      </c>
      <c r="AU150" s="92" t="s">
        <v>913</v>
      </c>
      <c r="AV150" s="92" t="s">
        <v>913</v>
      </c>
      <c r="AW150" s="72" t="s">
        <v>914</v>
      </c>
      <c r="AX150" s="78" t="s">
        <v>901</v>
      </c>
      <c r="AY150" s="78" t="s">
        <v>1799</v>
      </c>
      <c r="AZ150" s="162" t="s">
        <v>915</v>
      </c>
      <c r="BB150" s="24" t="s">
        <v>916</v>
      </c>
      <c r="BC150" s="164" t="s">
        <v>901</v>
      </c>
      <c r="BD150" s="78" t="s">
        <v>917</v>
      </c>
      <c r="BE150" s="165" t="s">
        <v>887</v>
      </c>
      <c r="BF150" s="78" t="s">
        <v>901</v>
      </c>
      <c r="BG150" s="72" t="s">
        <v>918</v>
      </c>
      <c r="BH150" s="72" t="s">
        <v>919</v>
      </c>
      <c r="BI150" s="24" t="s">
        <v>920</v>
      </c>
      <c r="BJ150" s="24" t="s">
        <v>921</v>
      </c>
      <c r="BK150" s="78" t="s">
        <v>901</v>
      </c>
      <c r="BL150" s="29" t="s">
        <v>922</v>
      </c>
      <c r="BN150" s="2"/>
      <c r="BP150" s="23" t="s">
        <v>896</v>
      </c>
    </row>
    <row r="151" spans="1:68" x14ac:dyDescent="0.25">
      <c r="A151">
        <f>COUNTA(UNCOMMON)</f>
        <v>444</v>
      </c>
      <c r="B151" s="29" t="s">
        <v>923</v>
      </c>
      <c r="C151" s="103" t="s">
        <v>910</v>
      </c>
      <c r="D151" s="78" t="s">
        <v>910</v>
      </c>
      <c r="E151" s="23" t="s">
        <v>924</v>
      </c>
      <c r="F151" s="23" t="s">
        <v>886</v>
      </c>
      <c r="G151" s="78" t="s">
        <v>893</v>
      </c>
      <c r="H151" s="24" t="s">
        <v>925</v>
      </c>
      <c r="I151" s="29" t="s">
        <v>913</v>
      </c>
      <c r="J151" s="72" t="s">
        <v>926</v>
      </c>
      <c r="K151" s="24" t="s">
        <v>927</v>
      </c>
      <c r="L151" s="93" t="s">
        <v>928</v>
      </c>
      <c r="M151" s="29" t="s">
        <v>929</v>
      </c>
      <c r="N151" s="29" t="s">
        <v>902</v>
      </c>
      <c r="O151" s="23" t="s">
        <v>904</v>
      </c>
      <c r="P151" s="29" t="s">
        <v>930</v>
      </c>
      <c r="Q151" s="24" t="s">
        <v>931</v>
      </c>
      <c r="R151" s="24" t="s">
        <v>909</v>
      </c>
      <c r="S151" s="24" t="s">
        <v>909</v>
      </c>
      <c r="T151" s="23" t="s">
        <v>901</v>
      </c>
      <c r="U151" s="72" t="s">
        <v>932</v>
      </c>
      <c r="V151" s="24" t="s">
        <v>893</v>
      </c>
      <c r="W151" s="23" t="s">
        <v>933</v>
      </c>
      <c r="X151" s="23" t="s">
        <v>896</v>
      </c>
      <c r="Y151" s="23" t="s">
        <v>933</v>
      </c>
      <c r="Z151" s="29" t="s">
        <v>917</v>
      </c>
      <c r="AA151" s="92" t="s">
        <v>931</v>
      </c>
      <c r="AB151" s="24" t="s">
        <v>934</v>
      </c>
      <c r="AC151" s="29" t="s">
        <v>935</v>
      </c>
      <c r="AE151" s="24" t="s">
        <v>936</v>
      </c>
      <c r="AG151" s="29" t="s">
        <v>921</v>
      </c>
      <c r="AH151" s="29" t="s">
        <v>937</v>
      </c>
      <c r="AI151" s="24" t="s">
        <v>885</v>
      </c>
      <c r="AJ151" s="78" t="s">
        <v>938</v>
      </c>
      <c r="AK151" s="29" t="s">
        <v>939</v>
      </c>
      <c r="AL151" s="29" t="s">
        <v>940</v>
      </c>
      <c r="AM151" s="29" t="s">
        <v>907</v>
      </c>
      <c r="AN151" s="24" t="s">
        <v>941</v>
      </c>
      <c r="AO151" s="23" t="s">
        <v>942</v>
      </c>
      <c r="AP151" s="29" t="s">
        <v>913</v>
      </c>
      <c r="AQ151" s="23" t="s">
        <v>901</v>
      </c>
      <c r="AR151" s="23" t="s">
        <v>896</v>
      </c>
      <c r="AS151" s="24" t="s">
        <v>943</v>
      </c>
      <c r="AT151" s="24" t="s">
        <v>731</v>
      </c>
      <c r="AU151" s="29" t="s">
        <v>944</v>
      </c>
      <c r="AV151" s="29" t="s">
        <v>945</v>
      </c>
      <c r="AW151" s="24" t="s">
        <v>910</v>
      </c>
      <c r="AX151" s="78" t="s">
        <v>946</v>
      </c>
      <c r="AY151" s="78" t="s">
        <v>1799</v>
      </c>
      <c r="AZ151" s="29" t="s">
        <v>947</v>
      </c>
      <c r="BB151" s="29" t="s">
        <v>948</v>
      </c>
      <c r="BC151" s="78" t="s">
        <v>946</v>
      </c>
      <c r="BD151" s="29" t="s">
        <v>949</v>
      </c>
      <c r="BE151" s="24" t="s">
        <v>950</v>
      </c>
      <c r="BG151" s="24" t="s">
        <v>951</v>
      </c>
      <c r="BJ151" s="24" t="s">
        <v>952</v>
      </c>
      <c r="BK151" s="24" t="s">
        <v>953</v>
      </c>
      <c r="BL151" s="24" t="s">
        <v>954</v>
      </c>
      <c r="BN151" s="2"/>
      <c r="BP151" s="93" t="s">
        <v>955</v>
      </c>
    </row>
    <row r="152" spans="1:68" x14ac:dyDescent="0.25">
      <c r="A152" s="95">
        <f>A151/$A$2</f>
        <v>0.19794917521176994</v>
      </c>
      <c r="B152" s="103" t="s">
        <v>956</v>
      </c>
      <c r="C152" s="103" t="s">
        <v>957</v>
      </c>
      <c r="D152" s="29" t="s">
        <v>958</v>
      </c>
      <c r="E152" s="29" t="s">
        <v>952</v>
      </c>
      <c r="F152" s="29" t="s">
        <v>959</v>
      </c>
      <c r="G152" s="78" t="s">
        <v>933</v>
      </c>
      <c r="P152" s="24" t="s">
        <v>960</v>
      </c>
      <c r="Q152" s="24" t="s">
        <v>954</v>
      </c>
      <c r="W152" s="29" t="s">
        <v>886</v>
      </c>
      <c r="Y152" s="24" t="s">
        <v>961</v>
      </c>
      <c r="Z152" s="24" t="s">
        <v>962</v>
      </c>
      <c r="AB152" s="24" t="s">
        <v>952</v>
      </c>
      <c r="AG152" s="29" t="s">
        <v>910</v>
      </c>
      <c r="AH152" s="29" t="s">
        <v>963</v>
      </c>
      <c r="AI152" s="24" t="s">
        <v>964</v>
      </c>
      <c r="AJ152" s="72" t="s">
        <v>965</v>
      </c>
      <c r="AK152" s="29" t="s">
        <v>904</v>
      </c>
      <c r="AL152" s="23" t="s">
        <v>904</v>
      </c>
      <c r="AM152" s="24" t="s">
        <v>891</v>
      </c>
      <c r="AO152" s="24" t="s">
        <v>966</v>
      </c>
      <c r="AP152" s="24" t="s">
        <v>967</v>
      </c>
      <c r="AQ152" s="29" t="s">
        <v>968</v>
      </c>
      <c r="AR152" s="29" t="s">
        <v>969</v>
      </c>
      <c r="AS152" s="29" t="s">
        <v>892</v>
      </c>
      <c r="AT152" s="29" t="s">
        <v>897</v>
      </c>
      <c r="AV152" s="29" t="s">
        <v>939</v>
      </c>
      <c r="AW152" s="29" t="s">
        <v>970</v>
      </c>
      <c r="AX152" s="78" t="s">
        <v>971</v>
      </c>
      <c r="AY152" s="78" t="s">
        <v>1799</v>
      </c>
      <c r="AZ152" s="24" t="s">
        <v>731</v>
      </c>
      <c r="BB152" s="24" t="s">
        <v>893</v>
      </c>
      <c r="BC152" s="24" t="s">
        <v>973</v>
      </c>
      <c r="BD152" s="29" t="s">
        <v>962</v>
      </c>
      <c r="BE152" s="29" t="s">
        <v>929</v>
      </c>
      <c r="BG152" s="29" t="s">
        <v>892</v>
      </c>
      <c r="BJ152" s="29" t="s">
        <v>1796</v>
      </c>
      <c r="BK152" s="24" t="s">
        <v>3990</v>
      </c>
      <c r="BL152" s="29" t="s">
        <v>935</v>
      </c>
    </row>
    <row r="153" spans="1:68" x14ac:dyDescent="0.25">
      <c r="B153" s="92" t="s">
        <v>931</v>
      </c>
      <c r="G153" s="78" t="s">
        <v>901</v>
      </c>
      <c r="P153" s="24" t="s">
        <v>795</v>
      </c>
      <c r="W153" s="24" t="s">
        <v>898</v>
      </c>
      <c r="Y153" s="77" t="s">
        <v>893</v>
      </c>
      <c r="Z153" s="24" t="s">
        <v>893</v>
      </c>
      <c r="AB153" s="24" t="s">
        <v>962</v>
      </c>
      <c r="AG153" s="24" t="s">
        <v>974</v>
      </c>
      <c r="AH153" s="77" t="s">
        <v>893</v>
      </c>
      <c r="AI153" s="29" t="s">
        <v>960</v>
      </c>
      <c r="AJ153" s="24" t="s">
        <v>975</v>
      </c>
      <c r="AK153" s="29" t="s">
        <v>960</v>
      </c>
      <c r="AL153" s="24" t="s">
        <v>976</v>
      </c>
      <c r="AM153" s="24" t="s">
        <v>885</v>
      </c>
      <c r="AO153" s="24" t="s">
        <v>893</v>
      </c>
      <c r="AP153" s="24" t="s">
        <v>885</v>
      </c>
      <c r="AQ153" s="29" t="s">
        <v>977</v>
      </c>
      <c r="AR153" s="24" t="s">
        <v>978</v>
      </c>
      <c r="AS153" s="24" t="s">
        <v>941</v>
      </c>
      <c r="AT153" s="24" t="s">
        <v>910</v>
      </c>
      <c r="AV153" s="24" t="s">
        <v>893</v>
      </c>
      <c r="AW153" s="24" t="s">
        <v>885</v>
      </c>
      <c r="AX153" s="29" t="s">
        <v>886</v>
      </c>
      <c r="AY153" s="24" t="s">
        <v>979</v>
      </c>
      <c r="AZ153" s="24" t="s">
        <v>980</v>
      </c>
      <c r="BB153" s="24" t="s">
        <v>962</v>
      </c>
      <c r="BC153" s="24" t="s">
        <v>981</v>
      </c>
      <c r="BD153" s="24" t="s">
        <v>982</v>
      </c>
      <c r="BE153" s="29" t="s">
        <v>4084</v>
      </c>
      <c r="BG153" s="24" t="s">
        <v>909</v>
      </c>
      <c r="BJ153" s="24" t="s">
        <v>954</v>
      </c>
      <c r="BK153" s="29" t="s">
        <v>1006</v>
      </c>
      <c r="BL153" s="29" t="s">
        <v>983</v>
      </c>
    </row>
    <row r="154" spans="1:68" x14ac:dyDescent="0.25">
      <c r="A154" s="18"/>
      <c r="P154" s="23" t="s">
        <v>893</v>
      </c>
      <c r="Y154" s="24" t="s">
        <v>962</v>
      </c>
      <c r="Z154" s="24" t="s">
        <v>855</v>
      </c>
      <c r="AB154" s="24" t="s">
        <v>893</v>
      </c>
      <c r="AH154" s="24" t="s">
        <v>962</v>
      </c>
      <c r="AI154" s="24" t="s">
        <v>984</v>
      </c>
      <c r="AJ154" s="29" t="s">
        <v>977</v>
      </c>
      <c r="AK154" s="24" t="s">
        <v>910</v>
      </c>
      <c r="AL154" s="24" t="s">
        <v>855</v>
      </c>
      <c r="AM154" s="24" t="s">
        <v>962</v>
      </c>
      <c r="AO154" s="24" t="s">
        <v>962</v>
      </c>
      <c r="AP154" s="24" t="s">
        <v>907</v>
      </c>
      <c r="AQ154" s="24" t="s">
        <v>909</v>
      </c>
      <c r="AR154" s="24" t="s">
        <v>985</v>
      </c>
      <c r="AS154" s="24" t="s">
        <v>986</v>
      </c>
      <c r="AT154" s="24" t="s">
        <v>936</v>
      </c>
      <c r="AV154" s="24" t="s">
        <v>962</v>
      </c>
      <c r="AW154" s="24" t="s">
        <v>987</v>
      </c>
      <c r="AX154" s="29" t="s">
        <v>970</v>
      </c>
      <c r="AY154" s="24" t="s">
        <v>973</v>
      </c>
      <c r="AZ154" s="72" t="s">
        <v>988</v>
      </c>
      <c r="BB154" s="24" t="s">
        <v>989</v>
      </c>
      <c r="BC154" s="24" t="s">
        <v>990</v>
      </c>
      <c r="BD154" s="24" t="s">
        <v>991</v>
      </c>
      <c r="BE154" s="24" t="s">
        <v>893</v>
      </c>
      <c r="BG154" s="24" t="s">
        <v>936</v>
      </c>
      <c r="BJ154" s="24" t="s">
        <v>949</v>
      </c>
      <c r="BK154" s="23" t="s">
        <v>4004</v>
      </c>
      <c r="BL154" s="24" t="s">
        <v>981</v>
      </c>
    </row>
    <row r="155" spans="1:68" x14ac:dyDescent="0.25">
      <c r="A155" s="13"/>
      <c r="P155" s="24" t="s">
        <v>992</v>
      </c>
      <c r="Y155" s="29" t="s">
        <v>993</v>
      </c>
      <c r="AB155" s="24" t="s">
        <v>994</v>
      </c>
      <c r="AH155" s="24" t="s">
        <v>995</v>
      </c>
      <c r="AI155" s="24" t="s">
        <v>976</v>
      </c>
      <c r="AJ155" s="29" t="s">
        <v>986</v>
      </c>
      <c r="AK155" s="24" t="s">
        <v>894</v>
      </c>
      <c r="AL155" s="24" t="s">
        <v>910</v>
      </c>
      <c r="AM155" s="24" t="s">
        <v>893</v>
      </c>
      <c r="AO155" s="24" t="s">
        <v>885</v>
      </c>
      <c r="AP155" s="24" t="s">
        <v>962</v>
      </c>
      <c r="AQ155" s="24" t="s">
        <v>959</v>
      </c>
      <c r="AR155" s="77" t="s">
        <v>893</v>
      </c>
      <c r="AS155" s="24" t="s">
        <v>972</v>
      </c>
      <c r="AT155" s="24" t="s">
        <v>996</v>
      </c>
      <c r="AV155" s="29" t="s">
        <v>997</v>
      </c>
      <c r="AW155" s="93" t="s">
        <v>998</v>
      </c>
      <c r="AX155" s="24" t="s">
        <v>893</v>
      </c>
      <c r="AY155" s="29" t="s">
        <v>935</v>
      </c>
      <c r="AZ155" s="29" t="s">
        <v>977</v>
      </c>
      <c r="BB155" s="24" t="s">
        <v>921</v>
      </c>
      <c r="BC155" s="24" t="s">
        <v>893</v>
      </c>
      <c r="BD155" s="24" t="s">
        <v>910</v>
      </c>
      <c r="BE155" s="24" t="s">
        <v>962</v>
      </c>
      <c r="BG155" s="24" t="s">
        <v>893</v>
      </c>
      <c r="BJ155" s="24" t="s">
        <v>885</v>
      </c>
      <c r="BK155" s="23" t="s">
        <v>896</v>
      </c>
      <c r="BL155" s="24" t="s">
        <v>999</v>
      </c>
    </row>
    <row r="156" spans="1:68" x14ac:dyDescent="0.25">
      <c r="P156" s="29" t="s">
        <v>969</v>
      </c>
      <c r="AB156" s="24" t="s">
        <v>910</v>
      </c>
      <c r="AH156" s="29" t="s">
        <v>931</v>
      </c>
      <c r="AI156" s="24" t="s">
        <v>1000</v>
      </c>
      <c r="AJ156" s="29" t="s">
        <v>1001</v>
      </c>
      <c r="AK156" s="29" t="s">
        <v>1002</v>
      </c>
      <c r="AL156" s="24" t="s">
        <v>962</v>
      </c>
      <c r="AM156" s="29" t="s">
        <v>913</v>
      </c>
      <c r="AO156" s="24" t="s">
        <v>936</v>
      </c>
      <c r="AP156" s="29" t="s">
        <v>957</v>
      </c>
      <c r="AQ156" s="24" t="s">
        <v>981</v>
      </c>
      <c r="AR156" s="24" t="s">
        <v>962</v>
      </c>
      <c r="AS156" s="29" t="s">
        <v>904</v>
      </c>
      <c r="AT156" s="24" t="s">
        <v>984</v>
      </c>
      <c r="AV156" s="24" t="s">
        <v>1003</v>
      </c>
      <c r="AW156" s="24" t="s">
        <v>962</v>
      </c>
      <c r="AX156" s="24" t="s">
        <v>923</v>
      </c>
      <c r="AY156" s="24" t="s">
        <v>1004</v>
      </c>
      <c r="AZ156" s="23" t="s">
        <v>971</v>
      </c>
      <c r="BB156" s="24" t="s">
        <v>977</v>
      </c>
      <c r="BC156" s="24" t="s">
        <v>962</v>
      </c>
      <c r="BD156" s="24" t="s">
        <v>908</v>
      </c>
      <c r="BE156" s="24" t="s">
        <v>885</v>
      </c>
      <c r="BG156" s="24" t="s">
        <v>962</v>
      </c>
      <c r="BJ156" s="29" t="s">
        <v>907</v>
      </c>
      <c r="BK156" s="24" t="s">
        <v>930</v>
      </c>
      <c r="BL156" s="24" t="s">
        <v>990</v>
      </c>
    </row>
    <row r="157" spans="1:68" x14ac:dyDescent="0.25">
      <c r="A157" s="2"/>
      <c r="P157" s="24" t="s">
        <v>893</v>
      </c>
      <c r="AH157" s="24" t="s">
        <v>987</v>
      </c>
      <c r="AI157" s="24" t="s">
        <v>962</v>
      </c>
      <c r="AJ157" s="24" t="s">
        <v>1005</v>
      </c>
      <c r="AK157" s="24" t="s">
        <v>961</v>
      </c>
      <c r="AL157" s="24" t="s">
        <v>893</v>
      </c>
      <c r="AM157" s="24" t="s">
        <v>1005</v>
      </c>
      <c r="AP157" s="24" t="s">
        <v>893</v>
      </c>
      <c r="AQ157" s="24" t="s">
        <v>957</v>
      </c>
      <c r="AR157" s="24" t="s">
        <v>885</v>
      </c>
      <c r="AS157" s="23" t="s">
        <v>896</v>
      </c>
      <c r="AT157" s="24" t="s">
        <v>962</v>
      </c>
      <c r="AW157" s="24" t="s">
        <v>893</v>
      </c>
      <c r="AX157" s="24" t="s">
        <v>962</v>
      </c>
      <c r="AY157" s="24" t="s">
        <v>930</v>
      </c>
      <c r="AZ157" s="29" t="s">
        <v>1006</v>
      </c>
      <c r="BB157" s="24" t="s">
        <v>930</v>
      </c>
      <c r="BC157" s="24" t="s">
        <v>885</v>
      </c>
      <c r="BD157" s="29" t="s">
        <v>969</v>
      </c>
      <c r="BG157" s="24" t="s">
        <v>962</v>
      </c>
      <c r="BJ157" s="24" t="s">
        <v>962</v>
      </c>
      <c r="BK157" s="24" t="s">
        <v>974</v>
      </c>
      <c r="BL157" s="24" t="s">
        <v>893</v>
      </c>
    </row>
    <row r="158" spans="1:68" x14ac:dyDescent="0.25">
      <c r="P158" s="24" t="s">
        <v>962</v>
      </c>
      <c r="AH158" s="24" t="s">
        <v>1007</v>
      </c>
      <c r="AI158" s="77" t="s">
        <v>893</v>
      </c>
      <c r="AJ158" s="24" t="s">
        <v>795</v>
      </c>
      <c r="AK158" s="24" t="s">
        <v>885</v>
      </c>
      <c r="AL158" s="24" t="s">
        <v>1003</v>
      </c>
      <c r="AM158" s="29" t="s">
        <v>999</v>
      </c>
      <c r="AP158" s="24" t="s">
        <v>962</v>
      </c>
      <c r="AQ158" s="24" t="s">
        <v>960</v>
      </c>
      <c r="AR158" s="29" t="s">
        <v>4148</v>
      </c>
      <c r="AS158" s="24" t="s">
        <v>1008</v>
      </c>
      <c r="AT158" s="24" t="s">
        <v>769</v>
      </c>
      <c r="AW158" s="24" t="s">
        <v>984</v>
      </c>
      <c r="AX158" s="24" t="s">
        <v>933</v>
      </c>
      <c r="AY158" s="24" t="s">
        <v>1009</v>
      </c>
      <c r="AZ158" s="29" t="s">
        <v>973</v>
      </c>
      <c r="BB158" s="24" t="s">
        <v>959</v>
      </c>
      <c r="BD158" s="29" t="s">
        <v>1010</v>
      </c>
      <c r="BG158" s="24" t="s">
        <v>907</v>
      </c>
      <c r="BJ158" s="24" t="s">
        <v>930</v>
      </c>
      <c r="BK158" s="24" t="s">
        <v>958</v>
      </c>
      <c r="BL158" s="24" t="s">
        <v>962</v>
      </c>
    </row>
    <row r="159" spans="1:68" x14ac:dyDescent="0.25">
      <c r="P159" s="24" t="s">
        <v>885</v>
      </c>
      <c r="AH159" s="24" t="s">
        <v>992</v>
      </c>
      <c r="AI159" s="24" t="s">
        <v>952</v>
      </c>
      <c r="AJ159" s="77" t="s">
        <v>962</v>
      </c>
      <c r="AK159" s="24" t="s">
        <v>1007</v>
      </c>
      <c r="AP159" s="24" t="s">
        <v>885</v>
      </c>
      <c r="AQ159" s="24" t="s">
        <v>1011</v>
      </c>
      <c r="AR159" s="24" t="s">
        <v>795</v>
      </c>
      <c r="AS159" s="29" t="s">
        <v>719</v>
      </c>
      <c r="AT159" s="24" t="s">
        <v>1012</v>
      </c>
      <c r="AY159" s="24" t="s">
        <v>885</v>
      </c>
      <c r="AZ159" s="24" t="s">
        <v>972</v>
      </c>
      <c r="BB159" s="23" t="s">
        <v>929</v>
      </c>
      <c r="BD159" s="23" t="s">
        <v>1013</v>
      </c>
      <c r="BG159" s="24" t="s">
        <v>769</v>
      </c>
      <c r="BJ159" s="24" t="s">
        <v>974</v>
      </c>
      <c r="BK159" s="24" t="s">
        <v>893</v>
      </c>
      <c r="BL159" s="24" t="s">
        <v>885</v>
      </c>
    </row>
    <row r="160" spans="1:68" x14ac:dyDescent="0.25">
      <c r="P160" s="29" t="s">
        <v>1014</v>
      </c>
      <c r="AH160" s="24" t="s">
        <v>969</v>
      </c>
      <c r="AI160" s="24" t="s">
        <v>957</v>
      </c>
      <c r="AJ160" s="77" t="s">
        <v>893</v>
      </c>
      <c r="AK160" s="24" t="s">
        <v>1015</v>
      </c>
      <c r="AQ160" s="24" t="s">
        <v>1016</v>
      </c>
      <c r="AS160" s="24" t="s">
        <v>1017</v>
      </c>
      <c r="AT160" s="24" t="s">
        <v>951</v>
      </c>
      <c r="AY160" s="24" t="s">
        <v>885</v>
      </c>
      <c r="AZ160" s="24" t="s">
        <v>893</v>
      </c>
      <c r="BB160" s="24" t="s">
        <v>1018</v>
      </c>
      <c r="BD160" s="24" t="s">
        <v>1019</v>
      </c>
      <c r="BG160" s="24" t="s">
        <v>908</v>
      </c>
      <c r="BJ160" s="24" t="s">
        <v>4026</v>
      </c>
      <c r="BK160" s="24" t="s">
        <v>962</v>
      </c>
      <c r="BL160" s="29" t="s">
        <v>4004</v>
      </c>
    </row>
    <row r="161" spans="16:64" x14ac:dyDescent="0.25">
      <c r="P161" s="29" t="s">
        <v>4116</v>
      </c>
      <c r="AH161" s="24" t="s">
        <v>930</v>
      </c>
      <c r="AI161" s="24" t="s">
        <v>972</v>
      </c>
      <c r="AJ161" s="24" t="s">
        <v>909</v>
      </c>
      <c r="AK161" s="29" t="s">
        <v>986</v>
      </c>
      <c r="AQ161" s="24" t="s">
        <v>975</v>
      </c>
      <c r="AS161" s="24" t="s">
        <v>1020</v>
      </c>
      <c r="AT161" s="24" t="s">
        <v>962</v>
      </c>
      <c r="AY161" s="24" t="s">
        <v>893</v>
      </c>
      <c r="AZ161" s="24" t="s">
        <v>885</v>
      </c>
      <c r="BB161" s="24" t="s">
        <v>1021</v>
      </c>
      <c r="BD161" s="24" t="s">
        <v>885</v>
      </c>
      <c r="BG161" s="24" t="s">
        <v>1015</v>
      </c>
      <c r="BJ161" s="29" t="s">
        <v>929</v>
      </c>
      <c r="BK161" s="24" t="s">
        <v>885</v>
      </c>
      <c r="BL161" s="23" t="s">
        <v>896</v>
      </c>
    </row>
    <row r="162" spans="16:64" x14ac:dyDescent="0.25">
      <c r="P162" s="23" t="s">
        <v>4145</v>
      </c>
      <c r="AH162" s="24" t="s">
        <v>945</v>
      </c>
      <c r="AI162" s="72" t="s">
        <v>945</v>
      </c>
      <c r="AK162" s="23" t="s">
        <v>983</v>
      </c>
      <c r="AQ162" s="24" t="s">
        <v>893</v>
      </c>
      <c r="AS162" s="24" t="s">
        <v>1018</v>
      </c>
      <c r="AT162" s="24" t="s">
        <v>952</v>
      </c>
      <c r="AY162" s="24" t="s">
        <v>962</v>
      </c>
      <c r="AZ162" s="23" t="s">
        <v>901</v>
      </c>
      <c r="BB162" s="24" t="s">
        <v>984</v>
      </c>
      <c r="BD162" s="29" t="s">
        <v>907</v>
      </c>
      <c r="BG162" s="24" t="s">
        <v>663</v>
      </c>
    </row>
    <row r="163" spans="16:64" x14ac:dyDescent="0.25">
      <c r="P163" s="24" t="s">
        <v>910</v>
      </c>
      <c r="AH163" s="29" t="s">
        <v>960</v>
      </c>
      <c r="AK163" s="24" t="s">
        <v>992</v>
      </c>
      <c r="AQ163" s="24" t="s">
        <v>962</v>
      </c>
      <c r="AS163" s="24" t="s">
        <v>1022</v>
      </c>
      <c r="AT163" s="24" t="s">
        <v>1023</v>
      </c>
      <c r="AY163" s="29" t="s">
        <v>972</v>
      </c>
      <c r="AZ163" s="24" t="s">
        <v>987</v>
      </c>
      <c r="BB163" s="24" t="s">
        <v>888</v>
      </c>
      <c r="BD163" s="24" t="s">
        <v>962</v>
      </c>
    </row>
    <row r="164" spans="16:64" x14ac:dyDescent="0.25">
      <c r="P164" s="29" t="s">
        <v>936</v>
      </c>
      <c r="AH164" s="24" t="s">
        <v>1004</v>
      </c>
      <c r="AK164" s="29" t="s">
        <v>969</v>
      </c>
      <c r="AQ164" s="24" t="s">
        <v>885</v>
      </c>
      <c r="AS164" s="24" t="s">
        <v>980</v>
      </c>
      <c r="AY164" s="23" t="s">
        <v>1799</v>
      </c>
      <c r="BB164" s="29" t="s">
        <v>923</v>
      </c>
      <c r="BD164" s="24" t="s">
        <v>1004</v>
      </c>
    </row>
    <row r="165" spans="16:64" x14ac:dyDescent="0.25">
      <c r="AK165" s="24" t="s">
        <v>893</v>
      </c>
      <c r="AQ165" s="24" t="s">
        <v>930</v>
      </c>
      <c r="AS165" s="24" t="s">
        <v>962</v>
      </c>
      <c r="AY165" s="24" t="s">
        <v>980</v>
      </c>
      <c r="BB165" s="29" t="s">
        <v>1022</v>
      </c>
      <c r="BD165" s="24" t="s">
        <v>930</v>
      </c>
    </row>
    <row r="166" spans="16:64" x14ac:dyDescent="0.25">
      <c r="AK166" s="24" t="s">
        <v>962</v>
      </c>
      <c r="AQ166" s="29" t="s">
        <v>984</v>
      </c>
      <c r="AS166" s="24" t="s">
        <v>921</v>
      </c>
      <c r="AY166" s="24" t="s">
        <v>1803</v>
      </c>
      <c r="BB166" s="29" t="s">
        <v>907</v>
      </c>
      <c r="BD166" s="24" t="s">
        <v>974</v>
      </c>
    </row>
    <row r="167" spans="16:64" x14ac:dyDescent="0.25">
      <c r="AQ167" s="24" t="s">
        <v>921</v>
      </c>
      <c r="AS167" s="24" t="s">
        <v>977</v>
      </c>
      <c r="AY167" s="24" t="s">
        <v>931</v>
      </c>
      <c r="BB167" s="24" t="s">
        <v>893</v>
      </c>
      <c r="BD167" s="24" t="s">
        <v>893</v>
      </c>
    </row>
    <row r="168" spans="16:64" x14ac:dyDescent="0.25">
      <c r="AQ168" s="24" t="s">
        <v>910</v>
      </c>
      <c r="AY168" s="24" t="s">
        <v>910</v>
      </c>
      <c r="BB168" s="24" t="s">
        <v>1019</v>
      </c>
      <c r="BD168" s="24" t="s">
        <v>962</v>
      </c>
    </row>
    <row r="169" spans="16:64" x14ac:dyDescent="0.25">
      <c r="AQ169" s="24" t="s">
        <v>1024</v>
      </c>
      <c r="BB169" s="24" t="s">
        <v>1024</v>
      </c>
      <c r="BD169" s="24" t="s">
        <v>990</v>
      </c>
    </row>
    <row r="170" spans="16:64" x14ac:dyDescent="0.25">
      <c r="AQ170" s="29" t="s">
        <v>977</v>
      </c>
      <c r="BB170" s="24" t="s">
        <v>1017</v>
      </c>
      <c r="BD170" s="24" t="s">
        <v>981</v>
      </c>
    </row>
    <row r="171" spans="16:64" x14ac:dyDescent="0.25">
      <c r="AQ171" s="24" t="s">
        <v>898</v>
      </c>
      <c r="BB171" s="23" t="s">
        <v>913</v>
      </c>
      <c r="BD171" s="24" t="s">
        <v>999</v>
      </c>
    </row>
    <row r="172" spans="16:64" x14ac:dyDescent="0.25">
      <c r="AQ172" s="24" t="s">
        <v>1022</v>
      </c>
      <c r="BD172" s="24" t="s">
        <v>930</v>
      </c>
    </row>
    <row r="173" spans="16:64" x14ac:dyDescent="0.25">
      <c r="AQ173" s="23" t="s">
        <v>923</v>
      </c>
      <c r="BD173" s="24" t="s">
        <v>992</v>
      </c>
    </row>
    <row r="174" spans="16:64" x14ac:dyDescent="0.25">
      <c r="AQ174" s="24" t="s">
        <v>1017</v>
      </c>
      <c r="BD174" s="29" t="s">
        <v>969</v>
      </c>
    </row>
    <row r="175" spans="16:64" x14ac:dyDescent="0.25">
      <c r="AQ175" s="24" t="s">
        <v>1018</v>
      </c>
      <c r="BD175" s="24" t="s">
        <v>866</v>
      </c>
    </row>
    <row r="176" spans="16:64" x14ac:dyDescent="0.25">
      <c r="AQ176" s="24" t="s">
        <v>921</v>
      </c>
      <c r="BD176" s="24" t="s">
        <v>927</v>
      </c>
    </row>
    <row r="177" spans="43:43" x14ac:dyDescent="0.25">
      <c r="AQ177" s="24" t="s">
        <v>930</v>
      </c>
    </row>
    <row r="178" spans="43:43" x14ac:dyDescent="0.25">
      <c r="AQ178" s="24" t="s">
        <v>989</v>
      </c>
    </row>
    <row r="179" spans="43:43" x14ac:dyDescent="0.25">
      <c r="AQ179" s="29" t="s">
        <v>888</v>
      </c>
    </row>
    <row r="200" spans="1:64" x14ac:dyDescent="0.25">
      <c r="A200" t="s">
        <v>1025</v>
      </c>
      <c r="C200" s="59" t="s">
        <v>1026</v>
      </c>
      <c r="I200" s="147" t="s">
        <v>1027</v>
      </c>
      <c r="N200" s="59" t="s">
        <v>1028</v>
      </c>
      <c r="O200" s="59" t="s">
        <v>1029</v>
      </c>
      <c r="P200" s="59" t="s">
        <v>1030</v>
      </c>
      <c r="R200" s="149" t="s">
        <v>1031</v>
      </c>
      <c r="S200" s="149" t="s">
        <v>1031</v>
      </c>
      <c r="T200" s="148" t="s">
        <v>1032</v>
      </c>
      <c r="V200" s="148" t="s">
        <v>1033</v>
      </c>
      <c r="W200" s="148" t="s">
        <v>1031</v>
      </c>
      <c r="X200" s="59" t="s">
        <v>1034</v>
      </c>
      <c r="Y200" s="59" t="s">
        <v>1035</v>
      </c>
      <c r="Z200" s="148" t="s">
        <v>1032</v>
      </c>
      <c r="AA200" s="149" t="s">
        <v>1036</v>
      </c>
      <c r="AB200" s="149" t="s">
        <v>1031</v>
      </c>
      <c r="AC200" s="147" t="s">
        <v>1037</v>
      </c>
      <c r="AD200" s="59" t="s">
        <v>1034</v>
      </c>
      <c r="AE200" s="147" t="s">
        <v>1038</v>
      </c>
      <c r="AF200" s="149" t="s">
        <v>1039</v>
      </c>
      <c r="AG200" s="59" t="s">
        <v>1034</v>
      </c>
      <c r="AH200" s="59" t="s">
        <v>1034</v>
      </c>
      <c r="AI200" s="149" t="s">
        <v>1040</v>
      </c>
      <c r="AJ200" s="149" t="s">
        <v>1040</v>
      </c>
      <c r="AK200" s="59" t="s">
        <v>1028</v>
      </c>
      <c r="AL200" s="59" t="s">
        <v>1041</v>
      </c>
      <c r="AM200" s="59" t="s">
        <v>1034</v>
      </c>
      <c r="AN200" s="59" t="s">
        <v>4208</v>
      </c>
      <c r="AO200" s="59" t="s">
        <v>1042</v>
      </c>
      <c r="AP200" s="147" t="s">
        <v>1043</v>
      </c>
      <c r="AQ200" s="59" t="s">
        <v>1044</v>
      </c>
      <c r="AR200" s="148" t="s">
        <v>1032</v>
      </c>
      <c r="AT200" s="59" t="s">
        <v>1045</v>
      </c>
      <c r="AU200" s="59" t="s">
        <v>1042</v>
      </c>
      <c r="AV200" s="59" t="s">
        <v>1029</v>
      </c>
      <c r="AW200" s="149" t="s">
        <v>1046</v>
      </c>
      <c r="AX200" s="59" t="s">
        <v>1047</v>
      </c>
      <c r="AY200" s="59" t="s">
        <v>1048</v>
      </c>
      <c r="AZ200" s="149" t="s">
        <v>1049</v>
      </c>
      <c r="BB200" s="59" t="s">
        <v>1050</v>
      </c>
      <c r="BC200" s="149" t="s">
        <v>1051</v>
      </c>
      <c r="BD200" s="149" t="s">
        <v>1052</v>
      </c>
      <c r="BE200" s="59" t="s">
        <v>1034</v>
      </c>
      <c r="BG200" s="147" t="s">
        <v>1053</v>
      </c>
      <c r="BJ200" s="59" t="s">
        <v>4203</v>
      </c>
      <c r="BK200" s="147" t="s">
        <v>3999</v>
      </c>
      <c r="BL200" s="147" t="s">
        <v>1051</v>
      </c>
    </row>
    <row r="201" spans="1:64" x14ac:dyDescent="0.25">
      <c r="A201">
        <f>COUNTA(COMMON)</f>
        <v>263</v>
      </c>
      <c r="P201" s="59" t="s">
        <v>1082</v>
      </c>
      <c r="R201" s="148" t="s">
        <v>1054</v>
      </c>
      <c r="S201" s="148" t="s">
        <v>1037</v>
      </c>
      <c r="T201" s="59" t="s">
        <v>1055</v>
      </c>
      <c r="V201" s="59" t="s">
        <v>1056</v>
      </c>
      <c r="Y201" s="148" t="s">
        <v>1057</v>
      </c>
      <c r="Z201" s="148" t="s">
        <v>1031</v>
      </c>
      <c r="AB201" s="149" t="s">
        <v>1058</v>
      </c>
      <c r="AC201" s="147" t="s">
        <v>1059</v>
      </c>
      <c r="AE201" s="148" t="s">
        <v>1060</v>
      </c>
      <c r="AF201" s="59" t="s">
        <v>1030</v>
      </c>
      <c r="AG201" s="59" t="s">
        <v>1030</v>
      </c>
      <c r="AH201" s="147" t="s">
        <v>1053</v>
      </c>
      <c r="AI201" s="149" t="s">
        <v>1061</v>
      </c>
      <c r="AJ201" s="148" t="s">
        <v>1062</v>
      </c>
      <c r="AK201" s="59" t="s">
        <v>1063</v>
      </c>
      <c r="AL201" s="59" t="s">
        <v>1030</v>
      </c>
      <c r="AM201" s="147" t="s">
        <v>1059</v>
      </c>
      <c r="AO201" s="59" t="s">
        <v>1064</v>
      </c>
      <c r="AP201" s="59" t="s">
        <v>1043</v>
      </c>
      <c r="AQ201" s="59" t="s">
        <v>1073</v>
      </c>
      <c r="AR201" s="59" t="s">
        <v>1034</v>
      </c>
      <c r="AT201" s="59" t="s">
        <v>1028</v>
      </c>
      <c r="AU201" s="147" t="s">
        <v>1065</v>
      </c>
      <c r="AV201" s="59" t="s">
        <v>1066</v>
      </c>
      <c r="AW201" s="148" t="s">
        <v>1067</v>
      </c>
      <c r="AX201" s="147" t="s">
        <v>1059</v>
      </c>
      <c r="AY201" s="149" t="s">
        <v>1032</v>
      </c>
      <c r="AZ201" s="59" t="s">
        <v>1068</v>
      </c>
      <c r="BB201" s="149" t="s">
        <v>1069</v>
      </c>
      <c r="BC201" s="59" t="s">
        <v>1059</v>
      </c>
      <c r="BD201" s="59" t="s">
        <v>1070</v>
      </c>
      <c r="BE201" s="59" t="s">
        <v>1035</v>
      </c>
      <c r="BG201" s="59" t="s">
        <v>1043</v>
      </c>
      <c r="BJ201" s="147" t="s">
        <v>1051</v>
      </c>
      <c r="BK201" s="147" t="s">
        <v>1941</v>
      </c>
      <c r="BL201" s="59" t="s">
        <v>1043</v>
      </c>
    </row>
    <row r="202" spans="1:64" x14ac:dyDescent="0.25">
      <c r="A202" s="95">
        <f>A201/$A$2</f>
        <v>0.11725367810967455</v>
      </c>
      <c r="P202" s="59" t="s">
        <v>4196</v>
      </c>
      <c r="R202" s="59" t="s">
        <v>1029</v>
      </c>
      <c r="S202" s="151" t="s">
        <v>1043</v>
      </c>
      <c r="T202" s="59" t="s">
        <v>1042</v>
      </c>
      <c r="Y202" s="148" t="s">
        <v>1031</v>
      </c>
      <c r="Z202" s="59" t="s">
        <v>1112</v>
      </c>
      <c r="AB202" s="147" t="s">
        <v>1071</v>
      </c>
      <c r="AC202" s="149" t="s">
        <v>1031</v>
      </c>
      <c r="AE202" s="148" t="s">
        <v>1072</v>
      </c>
      <c r="AF202" s="149" t="s">
        <v>1036</v>
      </c>
      <c r="AG202" s="147" t="s">
        <v>1073</v>
      </c>
      <c r="AH202" s="59" t="s">
        <v>1070</v>
      </c>
      <c r="AI202" s="148" t="s">
        <v>1057</v>
      </c>
      <c r="AJ202" s="59" t="s">
        <v>1074</v>
      </c>
      <c r="AK202" s="59" t="s">
        <v>1075</v>
      </c>
      <c r="AL202" s="147" t="s">
        <v>1073</v>
      </c>
      <c r="AM202" s="59" t="s">
        <v>1034</v>
      </c>
      <c r="AO202" s="59" t="s">
        <v>1029</v>
      </c>
      <c r="AP202" s="59" t="s">
        <v>1070</v>
      </c>
      <c r="AQ202" s="59" t="s">
        <v>1044</v>
      </c>
      <c r="AR202" s="59" t="s">
        <v>1041</v>
      </c>
      <c r="AT202" s="147" t="s">
        <v>1076</v>
      </c>
      <c r="AU202" s="148" t="s">
        <v>1077</v>
      </c>
      <c r="AV202" s="59" t="s">
        <v>1075</v>
      </c>
      <c r="AW202" s="59" t="s">
        <v>1034</v>
      </c>
      <c r="AX202" s="59" t="s">
        <v>1078</v>
      </c>
      <c r="AY202" s="59" t="s">
        <v>1079</v>
      </c>
      <c r="AZ202" s="59" t="s">
        <v>1049</v>
      </c>
      <c r="BB202" s="59" t="s">
        <v>1080</v>
      </c>
      <c r="BC202" s="59" t="s">
        <v>1069</v>
      </c>
      <c r="BD202" s="59" t="s">
        <v>1081</v>
      </c>
      <c r="BE202" s="59" t="s">
        <v>1043</v>
      </c>
      <c r="BG202" s="59" t="s">
        <v>1070</v>
      </c>
      <c r="BJ202" s="59" t="s">
        <v>1033</v>
      </c>
      <c r="BK202" s="59" t="s">
        <v>1055</v>
      </c>
      <c r="BL202" s="59" t="s">
        <v>1033</v>
      </c>
    </row>
    <row r="203" spans="1:64" x14ac:dyDescent="0.25">
      <c r="Y203" s="59" t="s">
        <v>1082</v>
      </c>
      <c r="Z203" s="59" t="s">
        <v>1095</v>
      </c>
      <c r="AB203" s="59" t="s">
        <v>1029</v>
      </c>
      <c r="AC203" s="149" t="s">
        <v>1079</v>
      </c>
      <c r="AF203" s="59" t="s">
        <v>1083</v>
      </c>
      <c r="AG203" s="59" t="s">
        <v>1083</v>
      </c>
      <c r="AH203" s="59" t="s">
        <v>1948</v>
      </c>
      <c r="AI203" s="149" t="s">
        <v>1058</v>
      </c>
      <c r="AJ203" s="147" t="s">
        <v>1070</v>
      </c>
      <c r="AK203" s="59" t="s">
        <v>1046</v>
      </c>
      <c r="AL203" s="148" t="s">
        <v>1067</v>
      </c>
      <c r="AO203" s="59" t="s">
        <v>1031</v>
      </c>
      <c r="AP203" s="147" t="s">
        <v>1084</v>
      </c>
      <c r="AR203" s="59" t="s">
        <v>1085</v>
      </c>
      <c r="AT203" s="59" t="s">
        <v>1026</v>
      </c>
      <c r="AU203" s="59" t="s">
        <v>1086</v>
      </c>
      <c r="AV203" s="59" t="s">
        <v>1087</v>
      </c>
      <c r="AW203" s="59" t="s">
        <v>1030</v>
      </c>
      <c r="AX203" s="149" t="s">
        <v>1060</v>
      </c>
      <c r="AY203" s="59" t="s">
        <v>1088</v>
      </c>
      <c r="AZ203" s="150" t="s">
        <v>1030</v>
      </c>
      <c r="BB203" s="59" t="s">
        <v>1089</v>
      </c>
      <c r="BC203" s="59" t="s">
        <v>1090</v>
      </c>
      <c r="BD203" s="59" t="s">
        <v>1091</v>
      </c>
      <c r="BE203" s="59" t="s">
        <v>1059</v>
      </c>
      <c r="BG203" s="59" t="s">
        <v>1092</v>
      </c>
      <c r="BK203" s="59" t="s">
        <v>1075</v>
      </c>
      <c r="BL203" s="59" t="s">
        <v>1058</v>
      </c>
    </row>
    <row r="204" spans="1:64" x14ac:dyDescent="0.25">
      <c r="A204" s="18"/>
      <c r="Y204" s="59" t="s">
        <v>1093</v>
      </c>
      <c r="Z204" s="59" t="s">
        <v>1106</v>
      </c>
      <c r="AB204" s="59" t="s">
        <v>1094</v>
      </c>
      <c r="AC204" s="59" t="s">
        <v>1095</v>
      </c>
      <c r="AF204" s="147" t="s">
        <v>1073</v>
      </c>
      <c r="AG204" s="149" t="s">
        <v>1031</v>
      </c>
      <c r="AH204" s="147" t="s">
        <v>1091</v>
      </c>
      <c r="AI204" s="59" t="s">
        <v>1055</v>
      </c>
      <c r="AJ204" s="149" t="s">
        <v>1096</v>
      </c>
      <c r="AK204" s="147" t="s">
        <v>1060</v>
      </c>
      <c r="AL204" s="149" t="s">
        <v>1053</v>
      </c>
      <c r="AO204" s="59" t="s">
        <v>1045</v>
      </c>
      <c r="AP204" s="59" t="s">
        <v>1090</v>
      </c>
      <c r="AR204" s="59" t="s">
        <v>1102</v>
      </c>
      <c r="AU204" s="59" t="s">
        <v>1029</v>
      </c>
      <c r="AV204" s="147" t="s">
        <v>1060</v>
      </c>
      <c r="AX204" s="148" t="s">
        <v>1052</v>
      </c>
      <c r="AY204" s="59" t="s">
        <v>1031</v>
      </c>
      <c r="AZ204" s="59" t="s">
        <v>1046</v>
      </c>
      <c r="BB204" s="59" t="s">
        <v>1097</v>
      </c>
      <c r="BC204" s="59" t="s">
        <v>1084</v>
      </c>
      <c r="BD204" s="59" t="s">
        <v>1098</v>
      </c>
      <c r="BE204" s="59" t="s">
        <v>4173</v>
      </c>
      <c r="BG204" s="59" t="s">
        <v>1098</v>
      </c>
      <c r="BL204" s="59" t="s">
        <v>1055</v>
      </c>
    </row>
    <row r="205" spans="1:64" x14ac:dyDescent="0.25">
      <c r="A205" s="13"/>
      <c r="Y205" s="59" t="s">
        <v>1099</v>
      </c>
      <c r="Z205" s="59" t="s">
        <v>4076</v>
      </c>
      <c r="AB205" s="148" t="s">
        <v>1100</v>
      </c>
      <c r="AC205" s="148" t="s">
        <v>1101</v>
      </c>
      <c r="AF205" s="148" t="s">
        <v>1031</v>
      </c>
      <c r="AG205" s="149" t="s">
        <v>1031</v>
      </c>
      <c r="AH205" s="59" t="s">
        <v>4056</v>
      </c>
      <c r="AK205" s="59" t="s">
        <v>1102</v>
      </c>
      <c r="AL205" s="148" t="s">
        <v>1052</v>
      </c>
      <c r="AO205" s="59" t="s">
        <v>1103</v>
      </c>
      <c r="AP205" s="59" t="s">
        <v>1104</v>
      </c>
      <c r="AR205" s="59" t="s">
        <v>1089</v>
      </c>
      <c r="AU205" s="59" t="s">
        <v>1045</v>
      </c>
      <c r="AV205" s="148" t="s">
        <v>1105</v>
      </c>
      <c r="AX205" s="149" t="s">
        <v>1099</v>
      </c>
      <c r="AY205" s="59" t="s">
        <v>1032</v>
      </c>
      <c r="AZ205" s="59" t="s">
        <v>1106</v>
      </c>
      <c r="BB205" s="59" t="s">
        <v>1107</v>
      </c>
      <c r="BC205" s="59" t="s">
        <v>1037</v>
      </c>
      <c r="BD205" s="59" t="s">
        <v>1027</v>
      </c>
      <c r="BE205" s="59" t="s">
        <v>4174</v>
      </c>
      <c r="BG205" s="59" t="s">
        <v>1108</v>
      </c>
      <c r="BL205" s="147" t="s">
        <v>1109</v>
      </c>
    </row>
    <row r="206" spans="1:64" x14ac:dyDescent="0.25">
      <c r="A206" s="17"/>
      <c r="Y206" s="59" t="s">
        <v>1034</v>
      </c>
      <c r="AB206" s="59" t="s">
        <v>4015</v>
      </c>
      <c r="AC206" s="59" t="s">
        <v>1028</v>
      </c>
      <c r="AF206" s="148" t="s">
        <v>1031</v>
      </c>
      <c r="AG206" s="149" t="s">
        <v>1039</v>
      </c>
      <c r="AH206" s="59" t="s">
        <v>4058</v>
      </c>
      <c r="AK206" s="59" t="s">
        <v>1055</v>
      </c>
      <c r="AL206" s="59" t="s">
        <v>1044</v>
      </c>
      <c r="AO206" s="59" t="s">
        <v>4091</v>
      </c>
      <c r="AR206" s="59" t="s">
        <v>1107</v>
      </c>
      <c r="AU206" s="59" t="s">
        <v>1110</v>
      </c>
      <c r="AV206" s="59" t="s">
        <v>1066</v>
      </c>
      <c r="AX206" s="59" t="s">
        <v>1111</v>
      </c>
      <c r="AY206" s="59" t="s">
        <v>1112</v>
      </c>
      <c r="AZ206" s="59" t="s">
        <v>1045</v>
      </c>
      <c r="BB206" s="59" t="s">
        <v>1106</v>
      </c>
      <c r="BD206" s="59" t="s">
        <v>1113</v>
      </c>
      <c r="BG206" s="59" t="s">
        <v>4105</v>
      </c>
      <c r="BL206" s="147" t="s">
        <v>1109</v>
      </c>
    </row>
    <row r="207" spans="1:64" x14ac:dyDescent="0.25">
      <c r="A207" s="2"/>
      <c r="Y207" s="148" t="s">
        <v>1105</v>
      </c>
      <c r="AC207" s="59" t="s">
        <v>1045</v>
      </c>
      <c r="AF207" s="147" t="s">
        <v>1073</v>
      </c>
      <c r="AG207" s="147" t="s">
        <v>1114</v>
      </c>
      <c r="AH207" s="59" t="s">
        <v>1050</v>
      </c>
      <c r="AL207" s="59" t="s">
        <v>1053</v>
      </c>
      <c r="AO207" s="59" t="s">
        <v>4205</v>
      </c>
      <c r="AR207" s="59" t="s">
        <v>1106</v>
      </c>
      <c r="AU207" s="59" t="s">
        <v>1115</v>
      </c>
      <c r="AV207" s="59" t="s">
        <v>4056</v>
      </c>
      <c r="AX207" s="59" t="s">
        <v>1055</v>
      </c>
      <c r="AY207" s="148" t="s">
        <v>1032</v>
      </c>
      <c r="AZ207" s="59" t="s">
        <v>1116</v>
      </c>
      <c r="BB207" s="59" t="s">
        <v>1042</v>
      </c>
      <c r="BD207" s="59" t="s">
        <v>1117</v>
      </c>
      <c r="BL207" s="59" t="s">
        <v>1027</v>
      </c>
    </row>
    <row r="208" spans="1:64" x14ac:dyDescent="0.25">
      <c r="Y208" s="59" t="s">
        <v>4046</v>
      </c>
      <c r="AC208" s="59" t="s">
        <v>1045</v>
      </c>
      <c r="AF208" s="148" t="s">
        <v>1054</v>
      </c>
      <c r="AL208" s="59" t="s">
        <v>1029</v>
      </c>
      <c r="AR208" s="59" t="s">
        <v>1050</v>
      </c>
      <c r="AU208" s="59" t="s">
        <v>1118</v>
      </c>
      <c r="AV208" s="59" t="s">
        <v>1031</v>
      </c>
      <c r="AX208" s="59" t="s">
        <v>1042</v>
      </c>
      <c r="AY208" s="59" t="s">
        <v>4089</v>
      </c>
      <c r="AZ208" s="59" t="s">
        <v>1119</v>
      </c>
      <c r="BB208" s="148" t="s">
        <v>1105</v>
      </c>
      <c r="BL208" s="147" t="s">
        <v>1059</v>
      </c>
    </row>
    <row r="209" spans="1:68" x14ac:dyDescent="0.25">
      <c r="AC209" s="59" t="s">
        <v>1032</v>
      </c>
      <c r="AF209" s="147" t="s">
        <v>1032</v>
      </c>
      <c r="AL209" s="59" t="s">
        <v>1026</v>
      </c>
      <c r="AU209" s="59" t="s">
        <v>1120</v>
      </c>
      <c r="AV209" s="59" t="s">
        <v>1086</v>
      </c>
      <c r="AX209" s="148" t="s">
        <v>1100</v>
      </c>
      <c r="AY209" s="59" t="s">
        <v>4159</v>
      </c>
      <c r="AZ209" s="59" t="s">
        <v>1121</v>
      </c>
      <c r="BL209" s="59" t="s">
        <v>1034</v>
      </c>
    </row>
    <row r="210" spans="1:68" x14ac:dyDescent="0.25">
      <c r="AC210" s="59" t="s">
        <v>1026</v>
      </c>
      <c r="AL210" s="59" t="s">
        <v>1032</v>
      </c>
      <c r="AU210" s="59" t="s">
        <v>1122</v>
      </c>
      <c r="AV210" s="59" t="s">
        <v>1075</v>
      </c>
      <c r="AX210" s="17"/>
      <c r="AY210" s="59" t="s">
        <v>4164</v>
      </c>
      <c r="AZ210" s="59" t="s">
        <v>1102</v>
      </c>
    </row>
    <row r="211" spans="1:68" x14ac:dyDescent="0.25">
      <c r="AU211" s="147" t="s">
        <v>1123</v>
      </c>
      <c r="AV211" s="59" t="s">
        <v>1124</v>
      </c>
      <c r="AX211" s="17"/>
      <c r="AZ211" s="59" t="s">
        <v>1106</v>
      </c>
    </row>
    <row r="212" spans="1:68" x14ac:dyDescent="0.25">
      <c r="AU212" s="59" t="s">
        <v>1125</v>
      </c>
      <c r="AX212" s="17"/>
    </row>
    <row r="213" spans="1:68" x14ac:dyDescent="0.25">
      <c r="AU213" s="59" t="s">
        <v>1029</v>
      </c>
      <c r="AX213" s="17"/>
    </row>
    <row r="214" spans="1:68" x14ac:dyDescent="0.25">
      <c r="AU214" s="59" t="s">
        <v>1031</v>
      </c>
      <c r="AX214" s="17"/>
    </row>
    <row r="215" spans="1:68" x14ac:dyDescent="0.25">
      <c r="AX215" s="17"/>
    </row>
    <row r="216" spans="1:68" x14ac:dyDescent="0.25">
      <c r="AX216" s="17"/>
    </row>
    <row r="217" spans="1:68" x14ac:dyDescent="0.25">
      <c r="AX217" s="17"/>
    </row>
    <row r="218" spans="1:68" x14ac:dyDescent="0.25">
      <c r="AX218" s="17"/>
    </row>
    <row r="219" spans="1:68" x14ac:dyDescent="0.25">
      <c r="AX219" s="17"/>
    </row>
    <row r="220" spans="1:68" x14ac:dyDescent="0.25">
      <c r="A220" t="s">
        <v>1126</v>
      </c>
      <c r="O220" s="145" t="s">
        <v>1127</v>
      </c>
      <c r="R220" s="145" t="s">
        <v>1127</v>
      </c>
      <c r="S220" s="145" t="s">
        <v>1127</v>
      </c>
      <c r="AA220" s="146" t="s">
        <v>1128</v>
      </c>
      <c r="AF220" s="145" t="s">
        <v>1127</v>
      </c>
      <c r="AX220" s="17"/>
      <c r="BB220" s="145" t="s">
        <v>1129</v>
      </c>
      <c r="BP220" s="22" t="s">
        <v>1130</v>
      </c>
    </row>
    <row r="221" spans="1:68" x14ac:dyDescent="0.25">
      <c r="A221">
        <f>COUNTA(UNIQUE)</f>
        <v>10</v>
      </c>
      <c r="C221" s="2"/>
      <c r="O221" s="145" t="s">
        <v>1131</v>
      </c>
      <c r="R221" s="145" t="s">
        <v>1131</v>
      </c>
      <c r="AF221" s="145" t="s">
        <v>1131</v>
      </c>
      <c r="AX221" s="17"/>
    </row>
    <row r="222" spans="1:68" x14ac:dyDescent="0.25">
      <c r="X222" s="4"/>
      <c r="AX222" s="17"/>
    </row>
    <row r="223" spans="1:68" x14ac:dyDescent="0.25">
      <c r="AX223" s="17"/>
    </row>
    <row r="224" spans="1:68" x14ac:dyDescent="0.25">
      <c r="A224" s="18"/>
      <c r="AX224" s="17"/>
    </row>
    <row r="225" spans="1:63" x14ac:dyDescent="0.25">
      <c r="A225" s="13"/>
      <c r="AX225" s="17"/>
    </row>
    <row r="226" spans="1:63" x14ac:dyDescent="0.25">
      <c r="A226" s="17"/>
      <c r="AX226" s="17"/>
    </row>
    <row r="227" spans="1:63" x14ac:dyDescent="0.25">
      <c r="A227" s="2"/>
      <c r="AX227" s="17"/>
    </row>
    <row r="228" spans="1:63" x14ac:dyDescent="0.25">
      <c r="AX228" s="17"/>
    </row>
    <row r="229" spans="1:63" x14ac:dyDescent="0.25">
      <c r="AX229" s="17"/>
    </row>
    <row r="230" spans="1:63" x14ac:dyDescent="0.25">
      <c r="A230" t="s">
        <v>1132</v>
      </c>
      <c r="B230" s="143" t="s">
        <v>1133</v>
      </c>
      <c r="C230" s="143" t="s">
        <v>1134</v>
      </c>
      <c r="D230" s="143" t="s">
        <v>1135</v>
      </c>
      <c r="E230" s="144" t="s">
        <v>1136</v>
      </c>
      <c r="F230" s="143" t="s">
        <v>1134</v>
      </c>
      <c r="G230" s="143" t="s">
        <v>1137</v>
      </c>
      <c r="H230" s="143" t="s">
        <v>1135</v>
      </c>
      <c r="I230" s="143" t="s">
        <v>1137</v>
      </c>
      <c r="J230" s="143" t="s">
        <v>1137</v>
      </c>
      <c r="K230" s="143" t="s">
        <v>1134</v>
      </c>
      <c r="L230" s="143" t="s">
        <v>1134</v>
      </c>
      <c r="M230" s="143" t="s">
        <v>1135</v>
      </c>
      <c r="O230" s="143" t="s">
        <v>1134</v>
      </c>
      <c r="P230" s="143" t="s">
        <v>1137</v>
      </c>
      <c r="Q230" s="143" t="s">
        <v>1134</v>
      </c>
      <c r="R230" s="143" t="s">
        <v>1138</v>
      </c>
      <c r="S230" s="143" t="s">
        <v>1137</v>
      </c>
      <c r="T230" s="143" t="s">
        <v>1136</v>
      </c>
      <c r="U230" s="143" t="s">
        <v>1134</v>
      </c>
      <c r="V230" s="143" t="s">
        <v>1135</v>
      </c>
      <c r="W230" s="143" t="s">
        <v>1135</v>
      </c>
      <c r="X230" s="143" t="s">
        <v>1137</v>
      </c>
      <c r="Y230" s="143" t="s">
        <v>1135</v>
      </c>
      <c r="Z230" s="146" t="s">
        <v>4081</v>
      </c>
      <c r="AA230" s="143" t="s">
        <v>1135</v>
      </c>
      <c r="AB230" s="143" t="s">
        <v>1135</v>
      </c>
      <c r="AC230" s="143" t="s">
        <v>1139</v>
      </c>
      <c r="AD230" s="143" t="s">
        <v>1134</v>
      </c>
      <c r="AE230" s="143" t="s">
        <v>1134</v>
      </c>
      <c r="AF230" s="143" t="s">
        <v>1134</v>
      </c>
      <c r="AG230" s="143" t="s">
        <v>1136</v>
      </c>
      <c r="AH230" s="143" t="s">
        <v>1137</v>
      </c>
      <c r="AI230" s="143" t="s">
        <v>1136</v>
      </c>
      <c r="AJ230" s="143" t="s">
        <v>1134</v>
      </c>
      <c r="AK230" s="143" t="s">
        <v>1134</v>
      </c>
      <c r="AL230" s="143" t="s">
        <v>482</v>
      </c>
      <c r="AM230" s="143" t="s">
        <v>1135</v>
      </c>
      <c r="AO230" s="143" t="s">
        <v>1137</v>
      </c>
      <c r="AQ230" s="143" t="s">
        <v>1137</v>
      </c>
      <c r="AR230" s="143" t="s">
        <v>1136</v>
      </c>
      <c r="AT230" s="146" t="s">
        <v>1140</v>
      </c>
      <c r="AU230" s="143" t="s">
        <v>1136</v>
      </c>
      <c r="AV230" s="143" t="s">
        <v>1134</v>
      </c>
      <c r="AW230" s="143" t="s">
        <v>1137</v>
      </c>
      <c r="AX230" s="172" t="s">
        <v>1141</v>
      </c>
      <c r="AY230" s="143" t="s">
        <v>1136</v>
      </c>
      <c r="AZ230" s="143" t="s">
        <v>1135</v>
      </c>
      <c r="BB230" s="143" t="s">
        <v>1133</v>
      </c>
      <c r="BC230" s="143" t="s">
        <v>1135</v>
      </c>
      <c r="BD230" s="143" t="s">
        <v>1135</v>
      </c>
      <c r="BE230" s="143" t="s">
        <v>1135</v>
      </c>
      <c r="BK230" s="143" t="s">
        <v>1134</v>
      </c>
    </row>
    <row r="231" spans="1:63" x14ac:dyDescent="0.25">
      <c r="A231">
        <f>COUNTA(UNTRADEABLE)</f>
        <v>77</v>
      </c>
      <c r="C231" s="143" t="s">
        <v>1139</v>
      </c>
      <c r="E231" s="143" t="s">
        <v>1133</v>
      </c>
      <c r="G231" s="143" t="s">
        <v>1135</v>
      </c>
      <c r="L231" s="143" t="s">
        <v>1135</v>
      </c>
      <c r="M231" s="143" t="s">
        <v>1133</v>
      </c>
      <c r="O231" s="143" t="s">
        <v>1133</v>
      </c>
      <c r="R231" s="143" t="s">
        <v>1134</v>
      </c>
      <c r="S231" s="152" t="s">
        <v>901</v>
      </c>
      <c r="V231" s="143" t="s">
        <v>1133</v>
      </c>
      <c r="W231" s="143" t="s">
        <v>1137</v>
      </c>
      <c r="Y231" s="143" t="s">
        <v>1137</v>
      </c>
      <c r="Z231" s="143" t="s">
        <v>448</v>
      </c>
      <c r="AB231" s="143" t="s">
        <v>1136</v>
      </c>
      <c r="AC231" s="143" t="s">
        <v>1134</v>
      </c>
      <c r="AH231" s="143" t="s">
        <v>1136</v>
      </c>
      <c r="AM231" s="143" t="s">
        <v>1137</v>
      </c>
      <c r="AT231" s="143" t="s">
        <v>1134</v>
      </c>
      <c r="AX231" s="143" t="s">
        <v>1135</v>
      </c>
      <c r="AY231" s="143" t="s">
        <v>1139</v>
      </c>
      <c r="BB231" s="143" t="s">
        <v>1135</v>
      </c>
      <c r="BC231" s="143" t="s">
        <v>1137</v>
      </c>
      <c r="BE231" s="143" t="s">
        <v>1137</v>
      </c>
    </row>
    <row r="232" spans="1:63" x14ac:dyDescent="0.25">
      <c r="M232" s="143" t="s">
        <v>1142</v>
      </c>
      <c r="V232" s="143" t="s">
        <v>1142</v>
      </c>
      <c r="AX232" s="143" t="s">
        <v>1137</v>
      </c>
    </row>
    <row r="234" spans="1:63" x14ac:dyDescent="0.25">
      <c r="A234" s="18"/>
    </row>
    <row r="235" spans="1:63" x14ac:dyDescent="0.25">
      <c r="A235" s="13"/>
      <c r="AX235" s="87"/>
    </row>
    <row r="236" spans="1:63" x14ac:dyDescent="0.25">
      <c r="A236" s="17"/>
      <c r="AX236" s="87"/>
    </row>
    <row r="237" spans="1:63" x14ac:dyDescent="0.25">
      <c r="A237" s="2"/>
      <c r="AX237" s="17"/>
    </row>
    <row r="238" spans="1:63" x14ac:dyDescent="0.25">
      <c r="AX238" s="17"/>
    </row>
    <row r="244" spans="1:1" x14ac:dyDescent="0.25">
      <c r="A244" s="18"/>
    </row>
    <row r="245" spans="1:1" x14ac:dyDescent="0.25">
      <c r="A245" s="13"/>
    </row>
    <row r="246" spans="1:1" x14ac:dyDescent="0.25">
      <c r="A246" s="17"/>
    </row>
    <row r="247" spans="1:1" x14ac:dyDescent="0.25">
      <c r="A247" s="2"/>
    </row>
  </sheetData>
  <phoneticPr fontId="26" type="noConversion"/>
  <pageMargins left="0.7" right="0.7" top="0.75" bottom="0.75" header="0.3" footer="0.3"/>
  <pageSetup scale="10" orientation="landscape"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B47F1-CE3F-49EE-AC86-4B7B0A11A028}">
  <dimension ref="B2:BS155"/>
  <sheetViews>
    <sheetView topLeftCell="AB1" workbookViewId="0">
      <pane ySplit="3" topLeftCell="A4" activePane="bottomLeft" state="frozen"/>
      <selection pane="bottomLeft" activeCell="BE7" sqref="BE7:BE9"/>
    </sheetView>
  </sheetViews>
  <sheetFormatPr defaultRowHeight="15" x14ac:dyDescent="0.25"/>
  <sheetData>
    <row r="2" spans="2:71" x14ac:dyDescent="0.25">
      <c r="B2" s="59">
        <f>COUNTA(B4:B201)</f>
        <v>5</v>
      </c>
      <c r="C2" s="59">
        <f>COUNTA(C4:C201)</f>
        <v>2</v>
      </c>
      <c r="D2" s="59">
        <f>COUNTA(D4:D201)</f>
        <v>1</v>
      </c>
      <c r="E2" s="59">
        <f t="shared" ref="E2:H2" si="0">COUNTA(E4:E201)</f>
        <v>6</v>
      </c>
      <c r="F2" s="59">
        <f t="shared" si="0"/>
        <v>0</v>
      </c>
      <c r="G2" s="59">
        <f>COUNTA(G4:G201)</f>
        <v>26</v>
      </c>
      <c r="H2" s="59">
        <f t="shared" si="0"/>
        <v>0</v>
      </c>
      <c r="I2" s="59">
        <f>COUNTA(I4:I201)</f>
        <v>32</v>
      </c>
      <c r="J2" s="59">
        <f>COUNTA(J4:J201)</f>
        <v>0</v>
      </c>
      <c r="K2" s="59">
        <f>COUNTA(K4:K201)</f>
        <v>6</v>
      </c>
      <c r="L2" s="59">
        <f t="shared" ref="L2:Q2" si="1">COUNTA(L4:L201)</f>
        <v>0</v>
      </c>
      <c r="M2" s="59">
        <f>COUNTA(M4:M201)</f>
        <v>21</v>
      </c>
      <c r="N2" s="59">
        <f>COUNTA(N4:N201)-1</f>
        <v>39</v>
      </c>
      <c r="O2" s="59">
        <f>COUNTA(O5:O201)-1</f>
        <v>16</v>
      </c>
      <c r="P2">
        <f t="shared" si="1"/>
        <v>52</v>
      </c>
      <c r="Q2" s="59">
        <f t="shared" si="1"/>
        <v>24</v>
      </c>
      <c r="R2" s="59">
        <f>COUNTA(R4:R201)-1</f>
        <v>34</v>
      </c>
      <c r="S2" s="59">
        <f>COUNTA(S4:S201)-4</f>
        <v>16</v>
      </c>
      <c r="T2" s="59">
        <f>COUNTA(T4:T201)-3</f>
        <v>-3</v>
      </c>
      <c r="U2" s="59">
        <f>COUNTA(U4:U201)</f>
        <v>0</v>
      </c>
      <c r="V2" s="59">
        <f>COUNTA(V4:V201)-1</f>
        <v>1</v>
      </c>
      <c r="W2" s="59">
        <f>COUNTA(W4:W201)</f>
        <v>59</v>
      </c>
      <c r="X2" s="59">
        <f>COUNTA(X4:X201)</f>
        <v>31</v>
      </c>
      <c r="Y2">
        <f>COUNTA(Y4:Y201)</f>
        <v>63</v>
      </c>
      <c r="Z2" s="59">
        <f>COUNTA(Z4:Z201)</f>
        <v>45</v>
      </c>
      <c r="AA2" s="59">
        <f>COUNTA(AA4:AA201)-1</f>
        <v>4</v>
      </c>
      <c r="AB2">
        <f>COUNTA(AB4:AB201)</f>
        <v>62</v>
      </c>
      <c r="AC2">
        <f>COUNTA(AC4:AC201)-1</f>
        <v>42</v>
      </c>
      <c r="AD2" s="59">
        <f>COUNTA(AD4:AD201)-3</f>
        <v>9</v>
      </c>
      <c r="AE2" s="59">
        <f>COUNTA(AE4:AE201)</f>
        <v>28</v>
      </c>
      <c r="AF2" s="59">
        <f>COUNTA(AF5:AF201)-7</f>
        <v>24</v>
      </c>
      <c r="AG2" s="59">
        <f>COUNTA(AG5:AG201)-6</f>
        <v>40</v>
      </c>
      <c r="AH2">
        <f>COUNTA(AH4:AH201)</f>
        <v>58</v>
      </c>
      <c r="AI2">
        <f t="shared" ref="AI2:BL2" si="2">COUNTA(AI4:AI207)</f>
        <v>63</v>
      </c>
      <c r="AJ2">
        <f t="shared" si="2"/>
        <v>48</v>
      </c>
      <c r="AK2">
        <f t="shared" si="2"/>
        <v>61</v>
      </c>
      <c r="AL2">
        <f t="shared" si="2"/>
        <v>81</v>
      </c>
      <c r="AM2">
        <f t="shared" si="2"/>
        <v>52</v>
      </c>
      <c r="AN2">
        <f t="shared" si="2"/>
        <v>50</v>
      </c>
      <c r="AO2">
        <f t="shared" si="2"/>
        <v>25</v>
      </c>
      <c r="AP2">
        <f t="shared" si="2"/>
        <v>93</v>
      </c>
      <c r="AQ2">
        <f t="shared" si="2"/>
        <v>76</v>
      </c>
      <c r="AR2">
        <f t="shared" si="2"/>
        <v>41</v>
      </c>
      <c r="AS2">
        <f t="shared" si="2"/>
        <v>35</v>
      </c>
      <c r="AT2">
        <f t="shared" si="2"/>
        <v>0</v>
      </c>
      <c r="AU2">
        <f t="shared" si="2"/>
        <v>46</v>
      </c>
      <c r="AV2">
        <f t="shared" si="2"/>
        <v>27</v>
      </c>
      <c r="AW2">
        <f t="shared" si="2"/>
        <v>95</v>
      </c>
      <c r="AX2">
        <f t="shared" si="2"/>
        <v>86</v>
      </c>
      <c r="AY2">
        <f t="shared" si="2"/>
        <v>15</v>
      </c>
      <c r="AZ2">
        <f t="shared" si="2"/>
        <v>64</v>
      </c>
      <c r="BA2">
        <f t="shared" si="2"/>
        <v>39</v>
      </c>
      <c r="BB2">
        <f t="shared" si="2"/>
        <v>105</v>
      </c>
      <c r="BC2">
        <f t="shared" si="2"/>
        <v>39</v>
      </c>
      <c r="BD2">
        <f t="shared" si="2"/>
        <v>152</v>
      </c>
      <c r="BE2">
        <f t="shared" si="2"/>
        <v>6</v>
      </c>
      <c r="BF2">
        <f t="shared" si="2"/>
        <v>33</v>
      </c>
      <c r="BG2">
        <f t="shared" si="2"/>
        <v>48</v>
      </c>
      <c r="BH2">
        <f t="shared" si="2"/>
        <v>0</v>
      </c>
      <c r="BI2">
        <f t="shared" si="2"/>
        <v>0</v>
      </c>
      <c r="BJ2">
        <f t="shared" si="2"/>
        <v>29</v>
      </c>
      <c r="BK2">
        <f t="shared" si="2"/>
        <v>39</v>
      </c>
      <c r="BL2">
        <f t="shared" si="2"/>
        <v>40</v>
      </c>
      <c r="BP2">
        <f>COUNTA(BP4:BP201)</f>
        <v>0</v>
      </c>
      <c r="BQ2">
        <f>COUNTA(BQ4:BQ201)</f>
        <v>0</v>
      </c>
    </row>
    <row r="3" spans="2:71" x14ac:dyDescent="0.25">
      <c r="B3" t="s">
        <v>26</v>
      </c>
      <c r="C3" t="s">
        <v>29</v>
      </c>
      <c r="D3" t="s">
        <v>32</v>
      </c>
      <c r="E3" t="s">
        <v>35</v>
      </c>
      <c r="F3" t="s">
        <v>39</v>
      </c>
      <c r="G3" t="s">
        <v>42</v>
      </c>
      <c r="H3" t="s">
        <v>45</v>
      </c>
      <c r="I3" s="1" t="s">
        <v>74</v>
      </c>
      <c r="J3" t="s">
        <v>47</v>
      </c>
      <c r="K3" t="s">
        <v>49</v>
      </c>
      <c r="L3" t="s">
        <v>63</v>
      </c>
      <c r="M3" t="s">
        <v>78</v>
      </c>
      <c r="N3" t="s">
        <v>323</v>
      </c>
      <c r="O3" t="s">
        <v>80</v>
      </c>
      <c r="P3" s="1" t="s">
        <v>144</v>
      </c>
      <c r="Q3" t="s">
        <v>65</v>
      </c>
      <c r="R3" t="s">
        <v>84</v>
      </c>
      <c r="S3" t="s">
        <v>87</v>
      </c>
      <c r="T3" t="s">
        <v>53</v>
      </c>
      <c r="U3" t="s">
        <v>127</v>
      </c>
      <c r="V3" t="s">
        <v>55</v>
      </c>
      <c r="W3" t="s">
        <v>96</v>
      </c>
      <c r="X3" t="s">
        <v>111</v>
      </c>
      <c r="Y3" s="1" t="s">
        <v>132</v>
      </c>
      <c r="Z3" t="s">
        <v>140</v>
      </c>
      <c r="AA3" s="1" t="s">
        <v>51</v>
      </c>
      <c r="AB3" s="1" t="s">
        <v>136</v>
      </c>
      <c r="AC3" s="1" t="s">
        <v>109</v>
      </c>
      <c r="AD3" s="1" t="s">
        <v>72</v>
      </c>
      <c r="AE3" s="1" t="s">
        <v>94</v>
      </c>
      <c r="AF3" s="1" t="s">
        <v>90</v>
      </c>
      <c r="AG3" s="1" t="s">
        <v>98</v>
      </c>
      <c r="AH3" s="1" t="s">
        <v>146</v>
      </c>
      <c r="AI3" s="70" t="s">
        <v>76</v>
      </c>
      <c r="AJ3" s="70" t="s">
        <v>92</v>
      </c>
      <c r="AK3" s="70" t="s">
        <v>134</v>
      </c>
      <c r="AL3" s="1" t="s">
        <v>113</v>
      </c>
      <c r="AM3" s="1" t="s">
        <v>103</v>
      </c>
      <c r="AN3" s="1" t="s">
        <v>158</v>
      </c>
      <c r="AO3" s="1" t="s">
        <v>154</v>
      </c>
      <c r="AP3" s="1" t="s">
        <v>150</v>
      </c>
      <c r="AQ3" s="70" t="s">
        <v>162</v>
      </c>
      <c r="AR3" s="80" t="s">
        <v>148</v>
      </c>
      <c r="AS3" s="80" t="s">
        <v>101</v>
      </c>
      <c r="AT3" s="70" t="s">
        <v>1143</v>
      </c>
      <c r="AU3" s="70" t="s">
        <v>115</v>
      </c>
      <c r="AV3" s="70" t="s">
        <v>142</v>
      </c>
      <c r="AW3" s="70" t="s">
        <v>107</v>
      </c>
      <c r="AX3" s="70" t="s">
        <v>327</v>
      </c>
      <c r="AY3" s="70" t="s">
        <v>154</v>
      </c>
      <c r="AZ3" s="70" t="s">
        <v>130</v>
      </c>
      <c r="BA3" s="70" t="s">
        <v>156</v>
      </c>
      <c r="BB3" s="67" t="s">
        <v>123</v>
      </c>
      <c r="BC3" s="1" t="s">
        <v>164</v>
      </c>
      <c r="BD3" s="1" t="s">
        <v>117</v>
      </c>
      <c r="BE3" s="1" t="s">
        <v>166</v>
      </c>
      <c r="BF3" s="1" t="s">
        <v>120</v>
      </c>
      <c r="BG3" s="1" t="s">
        <v>138</v>
      </c>
      <c r="BH3" s="73" t="s">
        <v>179</v>
      </c>
      <c r="BI3" s="73" t="s">
        <v>328</v>
      </c>
      <c r="BJ3" s="73" t="s">
        <v>181</v>
      </c>
      <c r="BK3" s="73" t="s">
        <v>183</v>
      </c>
      <c r="BL3" s="73" t="s">
        <v>160</v>
      </c>
      <c r="BM3" s="1"/>
      <c r="BN3" s="1"/>
      <c r="BP3" s="1" t="s">
        <v>329</v>
      </c>
      <c r="BQ3" s="1" t="s">
        <v>330</v>
      </c>
      <c r="BR3" s="1" t="s">
        <v>331</v>
      </c>
      <c r="BS3" s="1" t="s">
        <v>332</v>
      </c>
    </row>
    <row r="4" spans="2:71" x14ac:dyDescent="0.25">
      <c r="B4" t="s">
        <v>1144</v>
      </c>
      <c r="C4" t="s">
        <v>1145</v>
      </c>
      <c r="D4" t="s">
        <v>1146</v>
      </c>
      <c r="E4" t="s">
        <v>1147</v>
      </c>
      <c r="G4" t="s">
        <v>1148</v>
      </c>
      <c r="I4" t="s">
        <v>1149</v>
      </c>
      <c r="K4" t="s">
        <v>1150</v>
      </c>
      <c r="M4" t="s">
        <v>1145</v>
      </c>
      <c r="N4" t="s">
        <v>1145</v>
      </c>
      <c r="O4" s="71" t="s">
        <v>1151</v>
      </c>
      <c r="P4" t="s">
        <v>1152</v>
      </c>
      <c r="Q4" t="s">
        <v>1153</v>
      </c>
      <c r="R4" t="s">
        <v>1154</v>
      </c>
      <c r="S4" t="s">
        <v>1151</v>
      </c>
      <c r="V4" t="s">
        <v>1155</v>
      </c>
      <c r="W4" t="s">
        <v>1156</v>
      </c>
      <c r="X4" t="s">
        <v>1145</v>
      </c>
      <c r="Y4" t="s">
        <v>1157</v>
      </c>
      <c r="Z4" t="s">
        <v>1158</v>
      </c>
      <c r="AA4" t="s">
        <v>1159</v>
      </c>
      <c r="AB4" t="s">
        <v>1160</v>
      </c>
      <c r="AC4" t="s">
        <v>1161</v>
      </c>
      <c r="AD4" s="71" t="s">
        <v>1162</v>
      </c>
      <c r="AE4" t="s">
        <v>1163</v>
      </c>
      <c r="AF4" t="s">
        <v>1164</v>
      </c>
      <c r="AG4" t="s">
        <v>1163</v>
      </c>
      <c r="AH4" t="s">
        <v>1158</v>
      </c>
      <c r="AI4" t="s">
        <v>1165</v>
      </c>
      <c r="AJ4" t="s">
        <v>1166</v>
      </c>
      <c r="AK4" t="s">
        <v>1149</v>
      </c>
      <c r="AL4" t="s">
        <v>1149</v>
      </c>
      <c r="AM4" t="s">
        <v>1167</v>
      </c>
      <c r="AN4" s="71" t="s">
        <v>1149</v>
      </c>
      <c r="AO4" t="s">
        <v>1163</v>
      </c>
      <c r="AP4" s="71" t="s">
        <v>1163</v>
      </c>
      <c r="AQ4" t="s">
        <v>1149</v>
      </c>
      <c r="AR4" t="s">
        <v>1149</v>
      </c>
      <c r="AS4" t="s">
        <v>1168</v>
      </c>
      <c r="AU4" t="s">
        <v>1152</v>
      </c>
      <c r="AV4" t="s">
        <v>1149</v>
      </c>
      <c r="AW4" t="s">
        <v>1169</v>
      </c>
      <c r="AX4" t="s">
        <v>1170</v>
      </c>
      <c r="AY4" t="s">
        <v>1163</v>
      </c>
      <c r="AZ4" t="s">
        <v>1163</v>
      </c>
      <c r="BA4" t="s">
        <v>1163</v>
      </c>
      <c r="BB4" t="s">
        <v>1171</v>
      </c>
      <c r="BC4" s="154" t="s">
        <v>1172</v>
      </c>
      <c r="BD4" t="s">
        <v>1149</v>
      </c>
      <c r="BE4" t="s">
        <v>1173</v>
      </c>
      <c r="BF4" t="s">
        <v>1174</v>
      </c>
      <c r="BG4" t="s">
        <v>1175</v>
      </c>
      <c r="BJ4" t="s">
        <v>1163</v>
      </c>
      <c r="BK4" t="s">
        <v>1149</v>
      </c>
      <c r="BL4" t="s">
        <v>1175</v>
      </c>
    </row>
    <row r="5" spans="2:71" x14ac:dyDescent="0.25">
      <c r="B5" t="s">
        <v>1176</v>
      </c>
      <c r="C5" t="s">
        <v>1177</v>
      </c>
      <c r="E5" t="s">
        <v>1178</v>
      </c>
      <c r="G5" t="s">
        <v>1148</v>
      </c>
      <c r="I5" t="s">
        <v>1149</v>
      </c>
      <c r="K5" t="s">
        <v>1179</v>
      </c>
      <c r="M5" t="s">
        <v>1180</v>
      </c>
      <c r="N5" t="s">
        <v>1180</v>
      </c>
      <c r="O5" t="s">
        <v>1181</v>
      </c>
      <c r="P5" t="s">
        <v>1149</v>
      </c>
      <c r="Q5" t="s">
        <v>1182</v>
      </c>
      <c r="R5" t="s">
        <v>1151</v>
      </c>
      <c r="S5" t="s">
        <v>1151</v>
      </c>
      <c r="V5" t="s">
        <v>1145</v>
      </c>
      <c r="W5" s="71" t="s">
        <v>1149</v>
      </c>
      <c r="X5" t="s">
        <v>1183</v>
      </c>
      <c r="Y5" t="s">
        <v>1149</v>
      </c>
      <c r="Z5" t="s">
        <v>1184</v>
      </c>
      <c r="AA5" t="s">
        <v>1185</v>
      </c>
      <c r="AB5" t="s">
        <v>1186</v>
      </c>
      <c r="AC5" t="s">
        <v>1163</v>
      </c>
      <c r="AD5" t="s">
        <v>1187</v>
      </c>
      <c r="AE5" t="s">
        <v>1145</v>
      </c>
      <c r="AF5" t="s">
        <v>1188</v>
      </c>
      <c r="AG5" t="s">
        <v>1163</v>
      </c>
      <c r="AH5" t="s">
        <v>1157</v>
      </c>
      <c r="AI5" t="s">
        <v>1189</v>
      </c>
      <c r="AJ5" t="s">
        <v>1190</v>
      </c>
      <c r="AK5" t="s">
        <v>1149</v>
      </c>
      <c r="AL5" t="s">
        <v>1191</v>
      </c>
      <c r="AM5" t="s">
        <v>1149</v>
      </c>
      <c r="AN5" t="s">
        <v>1163</v>
      </c>
      <c r="AO5" t="s">
        <v>1192</v>
      </c>
      <c r="AQ5" t="s">
        <v>1149</v>
      </c>
      <c r="AR5" t="s">
        <v>1149</v>
      </c>
      <c r="AS5" t="s">
        <v>1193</v>
      </c>
      <c r="AU5" t="s">
        <v>1163</v>
      </c>
      <c r="AV5" t="s">
        <v>1169</v>
      </c>
      <c r="AW5" t="s">
        <v>1194</v>
      </c>
      <c r="AX5" t="s">
        <v>1163</v>
      </c>
      <c r="AY5" t="s">
        <v>1165</v>
      </c>
      <c r="AZ5" t="s">
        <v>1165</v>
      </c>
      <c r="BA5" t="s">
        <v>1195</v>
      </c>
      <c r="BB5" t="s">
        <v>1165</v>
      </c>
      <c r="BC5" t="s">
        <v>1149</v>
      </c>
      <c r="BD5" t="s">
        <v>1195</v>
      </c>
      <c r="BE5" t="s">
        <v>1181</v>
      </c>
      <c r="BF5" t="s">
        <v>1163</v>
      </c>
      <c r="BG5" t="s">
        <v>1196</v>
      </c>
      <c r="BJ5" t="s">
        <v>1149</v>
      </c>
      <c r="BK5" t="s">
        <v>3991</v>
      </c>
      <c r="BL5" t="s">
        <v>1149</v>
      </c>
    </row>
    <row r="6" spans="2:71" x14ac:dyDescent="0.25">
      <c r="B6" t="s">
        <v>1197</v>
      </c>
      <c r="E6" t="s">
        <v>1198</v>
      </c>
      <c r="G6" t="s">
        <v>1148</v>
      </c>
      <c r="I6" t="s">
        <v>1149</v>
      </c>
      <c r="K6" t="s">
        <v>1199</v>
      </c>
      <c r="M6" t="s">
        <v>1197</v>
      </c>
      <c r="N6" t="s">
        <v>1200</v>
      </c>
      <c r="O6" t="s">
        <v>1171</v>
      </c>
      <c r="P6" t="s">
        <v>1201</v>
      </c>
      <c r="Q6" t="s">
        <v>1202</v>
      </c>
      <c r="R6" s="71" t="s">
        <v>1203</v>
      </c>
      <c r="S6" t="s">
        <v>1151</v>
      </c>
      <c r="W6" s="71" t="s">
        <v>1149</v>
      </c>
      <c r="X6" t="s">
        <v>1204</v>
      </c>
      <c r="Y6" s="71" t="s">
        <v>1163</v>
      </c>
      <c r="Z6" t="s">
        <v>1205</v>
      </c>
      <c r="AA6" t="s">
        <v>1151</v>
      </c>
      <c r="AB6" t="s">
        <v>1206</v>
      </c>
      <c r="AC6" t="s">
        <v>1207</v>
      </c>
      <c r="AD6" t="s">
        <v>1208</v>
      </c>
      <c r="AE6" t="s">
        <v>1209</v>
      </c>
      <c r="AF6" t="s">
        <v>1200</v>
      </c>
      <c r="AG6" t="s">
        <v>1210</v>
      </c>
      <c r="AH6" t="s">
        <v>1211</v>
      </c>
      <c r="AI6" t="s">
        <v>1212</v>
      </c>
      <c r="AJ6" t="s">
        <v>1213</v>
      </c>
      <c r="AK6" t="s">
        <v>1214</v>
      </c>
      <c r="AL6" t="s">
        <v>1196</v>
      </c>
      <c r="AM6" t="s">
        <v>1163</v>
      </c>
      <c r="AN6" t="s">
        <v>1215</v>
      </c>
      <c r="AO6" t="s">
        <v>1216</v>
      </c>
      <c r="AQ6" t="s">
        <v>1217</v>
      </c>
      <c r="AR6" t="s">
        <v>1149</v>
      </c>
      <c r="AS6" t="s">
        <v>1218</v>
      </c>
      <c r="AU6" t="s">
        <v>1163</v>
      </c>
      <c r="AV6" t="s">
        <v>1219</v>
      </c>
      <c r="AW6" t="s">
        <v>1219</v>
      </c>
      <c r="AX6" t="s">
        <v>1196</v>
      </c>
      <c r="AY6" t="s">
        <v>1220</v>
      </c>
      <c r="AZ6" t="s">
        <v>1221</v>
      </c>
      <c r="BA6" t="s">
        <v>1149</v>
      </c>
      <c r="BB6" t="s">
        <v>1222</v>
      </c>
      <c r="BC6" t="s">
        <v>1196</v>
      </c>
      <c r="BD6" t="s">
        <v>1160</v>
      </c>
      <c r="BE6" t="s">
        <v>1149</v>
      </c>
      <c r="BF6" t="s">
        <v>1223</v>
      </c>
      <c r="BG6" t="s">
        <v>1149</v>
      </c>
      <c r="BJ6" t="s">
        <v>1149</v>
      </c>
      <c r="BK6" t="s">
        <v>3992</v>
      </c>
      <c r="BL6" t="s">
        <v>1196</v>
      </c>
    </row>
    <row r="7" spans="2:71" x14ac:dyDescent="0.25">
      <c r="B7" t="s">
        <v>1151</v>
      </c>
      <c r="E7" t="s">
        <v>1224</v>
      </c>
      <c r="G7" t="s">
        <v>1151</v>
      </c>
      <c r="I7" t="s">
        <v>1149</v>
      </c>
      <c r="K7" t="s">
        <v>1177</v>
      </c>
      <c r="M7" t="s">
        <v>1144</v>
      </c>
      <c r="N7" t="s">
        <v>1225</v>
      </c>
      <c r="O7" t="s">
        <v>1187</v>
      </c>
      <c r="P7" t="s">
        <v>1226</v>
      </c>
      <c r="Q7" t="s">
        <v>1227</v>
      </c>
      <c r="R7" s="71" t="s">
        <v>1171</v>
      </c>
      <c r="S7" t="s">
        <v>1151</v>
      </c>
      <c r="W7" t="s">
        <v>1149</v>
      </c>
      <c r="X7" t="s">
        <v>1228</v>
      </c>
      <c r="Y7" t="s">
        <v>1229</v>
      </c>
      <c r="Z7" t="s">
        <v>1230</v>
      </c>
      <c r="AA7" t="s">
        <v>1154</v>
      </c>
      <c r="AB7" t="s">
        <v>1231</v>
      </c>
      <c r="AC7" t="s">
        <v>1232</v>
      </c>
      <c r="AD7" t="s">
        <v>1180</v>
      </c>
      <c r="AE7" t="s">
        <v>1233</v>
      </c>
      <c r="AF7" t="s">
        <v>1151</v>
      </c>
      <c r="AG7" t="s">
        <v>1151</v>
      </c>
      <c r="AH7" t="s">
        <v>1234</v>
      </c>
      <c r="AI7" t="s">
        <v>1235</v>
      </c>
      <c r="AJ7" t="s">
        <v>1236</v>
      </c>
      <c r="AK7" t="s">
        <v>1144</v>
      </c>
      <c r="AL7" t="s">
        <v>1160</v>
      </c>
      <c r="AM7" t="s">
        <v>1184</v>
      </c>
      <c r="AN7" t="s">
        <v>1237</v>
      </c>
      <c r="AO7" t="s">
        <v>1238</v>
      </c>
      <c r="AQ7" t="s">
        <v>1239</v>
      </c>
      <c r="AR7" t="s">
        <v>1240</v>
      </c>
      <c r="AS7" s="71" t="s">
        <v>1163</v>
      </c>
      <c r="AU7" t="s">
        <v>1241</v>
      </c>
      <c r="AV7" t="s">
        <v>1242</v>
      </c>
      <c r="AW7" t="s">
        <v>1163</v>
      </c>
      <c r="AX7" t="s">
        <v>1196</v>
      </c>
      <c r="AY7" t="s">
        <v>1149</v>
      </c>
      <c r="AZ7" t="s">
        <v>1243</v>
      </c>
      <c r="BA7" s="71" t="s">
        <v>1244</v>
      </c>
      <c r="BB7" t="s">
        <v>1245</v>
      </c>
      <c r="BC7" t="s">
        <v>1175</v>
      </c>
      <c r="BD7" t="s">
        <v>1239</v>
      </c>
      <c r="BE7" t="s">
        <v>1431</v>
      </c>
      <c r="BF7" t="s">
        <v>1163</v>
      </c>
      <c r="BJ7" t="s">
        <v>1260</v>
      </c>
      <c r="BK7" t="s">
        <v>3997</v>
      </c>
      <c r="BL7" t="s">
        <v>1149</v>
      </c>
    </row>
    <row r="8" spans="2:71" x14ac:dyDescent="0.25">
      <c r="B8" t="s">
        <v>1147</v>
      </c>
      <c r="E8" t="s">
        <v>1246</v>
      </c>
      <c r="G8" t="s">
        <v>1158</v>
      </c>
      <c r="I8" t="s">
        <v>1149</v>
      </c>
      <c r="K8" t="s">
        <v>1177</v>
      </c>
      <c r="M8" t="s">
        <v>1176</v>
      </c>
      <c r="N8" t="s">
        <v>1247</v>
      </c>
      <c r="O8" t="s">
        <v>1171</v>
      </c>
      <c r="P8" s="71" t="s">
        <v>1238</v>
      </c>
      <c r="Q8" t="s">
        <v>1248</v>
      </c>
      <c r="R8" t="s">
        <v>1208</v>
      </c>
      <c r="S8" t="s">
        <v>1145</v>
      </c>
      <c r="W8" t="s">
        <v>1149</v>
      </c>
      <c r="X8" t="s">
        <v>1249</v>
      </c>
      <c r="Y8" s="71" t="s">
        <v>1250</v>
      </c>
      <c r="Z8" t="s">
        <v>1251</v>
      </c>
      <c r="AA8" t="s">
        <v>1252</v>
      </c>
      <c r="AB8" t="s">
        <v>1194</v>
      </c>
      <c r="AC8" t="s">
        <v>1253</v>
      </c>
      <c r="AD8" s="71" t="s">
        <v>1145</v>
      </c>
      <c r="AE8" t="s">
        <v>1254</v>
      </c>
      <c r="AF8" t="s">
        <v>1181</v>
      </c>
      <c r="AG8" t="s">
        <v>1149</v>
      </c>
      <c r="AH8" t="s">
        <v>1241</v>
      </c>
      <c r="AI8" t="s">
        <v>1163</v>
      </c>
      <c r="AJ8" t="s">
        <v>1255</v>
      </c>
      <c r="AK8" t="s">
        <v>1149</v>
      </c>
      <c r="AL8" t="s">
        <v>1165</v>
      </c>
      <c r="AM8" t="s">
        <v>1251</v>
      </c>
      <c r="AN8" t="s">
        <v>1256</v>
      </c>
      <c r="AO8" t="s">
        <v>1257</v>
      </c>
      <c r="AQ8" t="s">
        <v>1258</v>
      </c>
      <c r="AR8" t="s">
        <v>1149</v>
      </c>
      <c r="AS8" t="s">
        <v>1184</v>
      </c>
      <c r="AU8" t="s">
        <v>1192</v>
      </c>
      <c r="AV8" t="s">
        <v>1163</v>
      </c>
      <c r="AW8" t="s">
        <v>1149</v>
      </c>
      <c r="AX8" t="s">
        <v>1259</v>
      </c>
      <c r="AY8" t="s">
        <v>1260</v>
      </c>
      <c r="AZ8" t="s">
        <v>1175</v>
      </c>
      <c r="BA8" t="s">
        <v>1261</v>
      </c>
      <c r="BB8" t="s">
        <v>1262</v>
      </c>
      <c r="BC8" t="s">
        <v>4048</v>
      </c>
      <c r="BD8" t="s">
        <v>1196</v>
      </c>
      <c r="BE8" t="s">
        <v>1163</v>
      </c>
      <c r="BF8" t="s">
        <v>1260</v>
      </c>
      <c r="BG8" t="s">
        <v>1163</v>
      </c>
      <c r="BJ8" t="s">
        <v>1397</v>
      </c>
      <c r="BK8" t="s">
        <v>1163</v>
      </c>
      <c r="BL8" t="s">
        <v>1263</v>
      </c>
    </row>
    <row r="9" spans="2:71" x14ac:dyDescent="0.25">
      <c r="E9" t="s">
        <v>1264</v>
      </c>
      <c r="G9" s="71" t="s">
        <v>1163</v>
      </c>
      <c r="I9" t="s">
        <v>1149</v>
      </c>
      <c r="K9" t="s">
        <v>1171</v>
      </c>
      <c r="M9" t="s">
        <v>1147</v>
      </c>
      <c r="N9" t="s">
        <v>1265</v>
      </c>
      <c r="O9" t="s">
        <v>1151</v>
      </c>
      <c r="P9" t="s">
        <v>1266</v>
      </c>
      <c r="Q9" t="s">
        <v>1267</v>
      </c>
      <c r="R9" t="s">
        <v>1187</v>
      </c>
      <c r="S9" t="s">
        <v>1145</v>
      </c>
      <c r="W9" t="s">
        <v>1149</v>
      </c>
      <c r="X9" t="s">
        <v>1181</v>
      </c>
      <c r="Y9" t="s">
        <v>1268</v>
      </c>
      <c r="Z9" t="s">
        <v>1192</v>
      </c>
      <c r="AB9" t="s">
        <v>1269</v>
      </c>
      <c r="AC9" t="s">
        <v>1163</v>
      </c>
      <c r="AD9" t="s">
        <v>1147</v>
      </c>
      <c r="AE9" t="s">
        <v>1270</v>
      </c>
      <c r="AF9" t="s">
        <v>1158</v>
      </c>
      <c r="AG9" t="s">
        <v>1271</v>
      </c>
      <c r="AH9" t="s">
        <v>1192</v>
      </c>
      <c r="AI9" t="s">
        <v>1272</v>
      </c>
      <c r="AJ9" t="s">
        <v>1273</v>
      </c>
      <c r="AK9" t="s">
        <v>1274</v>
      </c>
      <c r="AL9" t="s">
        <v>1275</v>
      </c>
      <c r="AM9" t="s">
        <v>1192</v>
      </c>
      <c r="AN9" t="s">
        <v>1260</v>
      </c>
      <c r="AO9" t="s">
        <v>1163</v>
      </c>
      <c r="AP9" t="s">
        <v>1256</v>
      </c>
      <c r="AQ9" t="s">
        <v>1276</v>
      </c>
      <c r="AR9" t="s">
        <v>1200</v>
      </c>
      <c r="AS9" t="s">
        <v>1251</v>
      </c>
      <c r="AU9" t="s">
        <v>1251</v>
      </c>
      <c r="AV9" t="s">
        <v>1277</v>
      </c>
      <c r="AW9" t="s">
        <v>1194</v>
      </c>
      <c r="AX9" t="s">
        <v>1278</v>
      </c>
      <c r="AY9" t="s">
        <v>1160</v>
      </c>
      <c r="AZ9" t="s">
        <v>1279</v>
      </c>
      <c r="BA9" t="s">
        <v>1163</v>
      </c>
      <c r="BB9" t="s">
        <v>1280</v>
      </c>
      <c r="BC9" t="s">
        <v>1165</v>
      </c>
      <c r="BD9" t="s">
        <v>1163</v>
      </c>
      <c r="BE9" t="s">
        <v>3997</v>
      </c>
      <c r="BF9" t="s">
        <v>1223</v>
      </c>
      <c r="BG9" t="s">
        <v>1192</v>
      </c>
      <c r="BJ9" t="s">
        <v>1160</v>
      </c>
      <c r="BK9" t="s">
        <v>1312</v>
      </c>
      <c r="BL9" t="s">
        <v>1163</v>
      </c>
    </row>
    <row r="10" spans="2:71" x14ac:dyDescent="0.25">
      <c r="G10" t="s">
        <v>1238</v>
      </c>
      <c r="I10" t="s">
        <v>1149</v>
      </c>
      <c r="M10" t="s">
        <v>1281</v>
      </c>
      <c r="N10" t="s">
        <v>1244</v>
      </c>
      <c r="O10" t="s">
        <v>1282</v>
      </c>
      <c r="P10" t="s">
        <v>1266</v>
      </c>
      <c r="Q10" t="s">
        <v>1283</v>
      </c>
      <c r="R10" t="s">
        <v>1284</v>
      </c>
      <c r="S10" t="s">
        <v>1145</v>
      </c>
      <c r="W10" t="s">
        <v>1149</v>
      </c>
      <c r="X10" t="s">
        <v>1285</v>
      </c>
      <c r="Y10" t="s">
        <v>1286</v>
      </c>
      <c r="Z10" t="s">
        <v>1241</v>
      </c>
      <c r="AB10" t="s">
        <v>1180</v>
      </c>
      <c r="AC10" t="s">
        <v>1287</v>
      </c>
      <c r="AD10" s="71" t="s">
        <v>1151</v>
      </c>
      <c r="AE10" t="s">
        <v>1288</v>
      </c>
      <c r="AF10" t="s">
        <v>1289</v>
      </c>
      <c r="AG10" t="s">
        <v>1271</v>
      </c>
      <c r="AH10" t="s">
        <v>1251</v>
      </c>
      <c r="AI10" t="s">
        <v>1290</v>
      </c>
      <c r="AJ10" t="s">
        <v>1266</v>
      </c>
      <c r="AK10" t="s">
        <v>1181</v>
      </c>
      <c r="AL10" t="s">
        <v>1165</v>
      </c>
      <c r="AM10" t="s">
        <v>1241</v>
      </c>
      <c r="AN10" t="s">
        <v>1291</v>
      </c>
      <c r="AO10" t="s">
        <v>1292</v>
      </c>
      <c r="AP10" t="s">
        <v>1149</v>
      </c>
      <c r="AQ10" t="s">
        <v>1149</v>
      </c>
      <c r="AR10" t="s">
        <v>1181</v>
      </c>
      <c r="AS10" t="s">
        <v>1192</v>
      </c>
      <c r="AU10" t="s">
        <v>1288</v>
      </c>
      <c r="AV10" t="s">
        <v>1293</v>
      </c>
      <c r="AW10" t="s">
        <v>1294</v>
      </c>
      <c r="AX10" t="s">
        <v>1295</v>
      </c>
      <c r="AY10" t="s">
        <v>1296</v>
      </c>
      <c r="AZ10" t="s">
        <v>1297</v>
      </c>
      <c r="BA10" t="s">
        <v>1196</v>
      </c>
      <c r="BB10" t="s">
        <v>1149</v>
      </c>
      <c r="BC10" t="s">
        <v>1163</v>
      </c>
      <c r="BD10" t="s">
        <v>1298</v>
      </c>
      <c r="BF10" t="s">
        <v>1160</v>
      </c>
      <c r="BG10" t="s">
        <v>1216</v>
      </c>
      <c r="BJ10" t="s">
        <v>1163</v>
      </c>
      <c r="BK10" t="s">
        <v>1398</v>
      </c>
      <c r="BL10" t="s">
        <v>1000</v>
      </c>
    </row>
    <row r="11" spans="2:71" x14ac:dyDescent="0.25">
      <c r="G11" t="s">
        <v>1299</v>
      </c>
      <c r="I11" t="s">
        <v>1149</v>
      </c>
      <c r="M11" s="71" t="s">
        <v>1151</v>
      </c>
      <c r="N11" t="s">
        <v>1171</v>
      </c>
      <c r="O11" t="s">
        <v>1163</v>
      </c>
      <c r="P11" t="s">
        <v>1266</v>
      </c>
      <c r="Q11" t="s">
        <v>1300</v>
      </c>
      <c r="R11" s="71" t="s">
        <v>1158</v>
      </c>
      <c r="S11" t="s">
        <v>1145</v>
      </c>
      <c r="W11" t="s">
        <v>1149</v>
      </c>
      <c r="X11" t="s">
        <v>1288</v>
      </c>
      <c r="Y11" t="s">
        <v>1221</v>
      </c>
      <c r="Z11" t="s">
        <v>1271</v>
      </c>
      <c r="AB11" t="s">
        <v>1205</v>
      </c>
      <c r="AC11" t="s">
        <v>1181</v>
      </c>
      <c r="AD11" t="s">
        <v>1301</v>
      </c>
      <c r="AE11" t="s">
        <v>1302</v>
      </c>
      <c r="AF11" t="s">
        <v>1163</v>
      </c>
      <c r="AG11" t="s">
        <v>1303</v>
      </c>
      <c r="AH11" t="s">
        <v>1288</v>
      </c>
      <c r="AI11" t="s">
        <v>1304</v>
      </c>
      <c r="AJ11" t="s">
        <v>1305</v>
      </c>
      <c r="AK11" t="s">
        <v>1158</v>
      </c>
      <c r="AL11" t="s">
        <v>1306</v>
      </c>
      <c r="AM11" t="s">
        <v>1205</v>
      </c>
      <c r="AN11" t="s">
        <v>1307</v>
      </c>
      <c r="AO11" t="s">
        <v>1163</v>
      </c>
      <c r="AP11" t="s">
        <v>1308</v>
      </c>
      <c r="AQ11" t="s">
        <v>1309</v>
      </c>
      <c r="AR11" t="s">
        <v>1163</v>
      </c>
      <c r="AS11" t="s">
        <v>1241</v>
      </c>
      <c r="AU11" t="s">
        <v>1153</v>
      </c>
      <c r="AV11" t="s">
        <v>1310</v>
      </c>
      <c r="AW11" t="s">
        <v>1163</v>
      </c>
      <c r="AX11" t="s">
        <v>1196</v>
      </c>
      <c r="AY11" t="s">
        <v>1163</v>
      </c>
      <c r="AZ11" t="s">
        <v>1311</v>
      </c>
      <c r="BA11" t="s">
        <v>1163</v>
      </c>
      <c r="BB11" t="s">
        <v>1312</v>
      </c>
      <c r="BC11" t="s">
        <v>1354</v>
      </c>
      <c r="BD11" t="s">
        <v>1313</v>
      </c>
      <c r="BF11" t="s">
        <v>1153</v>
      </c>
      <c r="BG11" t="s">
        <v>1238</v>
      </c>
      <c r="BJ11" t="s">
        <v>1338</v>
      </c>
      <c r="BK11" t="s">
        <v>1404</v>
      </c>
      <c r="BL11" t="s">
        <v>1314</v>
      </c>
    </row>
    <row r="12" spans="2:71" x14ac:dyDescent="0.25">
      <c r="G12" t="s">
        <v>1181</v>
      </c>
      <c r="I12" t="s">
        <v>1149</v>
      </c>
      <c r="M12" t="s">
        <v>1315</v>
      </c>
      <c r="N12" t="s">
        <v>1163</v>
      </c>
      <c r="O12" t="s">
        <v>1316</v>
      </c>
      <c r="P12" t="s">
        <v>1266</v>
      </c>
      <c r="Q12" t="s">
        <v>1317</v>
      </c>
      <c r="R12" t="s">
        <v>1200</v>
      </c>
      <c r="S12" t="s">
        <v>1171</v>
      </c>
      <c r="W12" t="s">
        <v>1149</v>
      </c>
      <c r="X12" t="s">
        <v>1318</v>
      </c>
      <c r="Y12" s="71" t="s">
        <v>1163</v>
      </c>
      <c r="Z12" t="s">
        <v>1271</v>
      </c>
      <c r="AB12" t="s">
        <v>1230</v>
      </c>
      <c r="AC12" t="s">
        <v>1238</v>
      </c>
      <c r="AD12" t="s">
        <v>1319</v>
      </c>
      <c r="AE12" t="s">
        <v>1320</v>
      </c>
      <c r="AF12" t="s">
        <v>1151</v>
      </c>
      <c r="AG12" t="s">
        <v>1321</v>
      </c>
      <c r="AH12" t="s">
        <v>1184</v>
      </c>
      <c r="AI12" t="s">
        <v>1181</v>
      </c>
      <c r="AJ12" t="s">
        <v>1149</v>
      </c>
      <c r="AK12" s="71" t="s">
        <v>1322</v>
      </c>
      <c r="AL12" t="s">
        <v>1323</v>
      </c>
      <c r="AM12" t="s">
        <v>1180</v>
      </c>
      <c r="AN12" t="s">
        <v>1324</v>
      </c>
      <c r="AO12" t="s">
        <v>1325</v>
      </c>
      <c r="AP12" t="s">
        <v>1326</v>
      </c>
      <c r="AQ12" t="s">
        <v>1327</v>
      </c>
      <c r="AR12" t="s">
        <v>1163</v>
      </c>
      <c r="AS12" t="s">
        <v>1163</v>
      </c>
      <c r="AU12" t="s">
        <v>1153</v>
      </c>
      <c r="AV12" t="s">
        <v>1328</v>
      </c>
      <c r="AW12" t="s">
        <v>1220</v>
      </c>
      <c r="AX12" t="s">
        <v>1329</v>
      </c>
      <c r="AY12" t="s">
        <v>1330</v>
      </c>
      <c r="AZ12" t="s">
        <v>1331</v>
      </c>
      <c r="BA12" t="s">
        <v>1158</v>
      </c>
      <c r="BB12" t="s">
        <v>1332</v>
      </c>
      <c r="BC12" t="s">
        <v>1192</v>
      </c>
      <c r="BD12" t="s">
        <v>1333</v>
      </c>
      <c r="BF12" t="s">
        <v>1334</v>
      </c>
      <c r="BG12" t="s">
        <v>1257</v>
      </c>
      <c r="BJ12" t="s">
        <v>4094</v>
      </c>
      <c r="BK12" t="s">
        <v>1149</v>
      </c>
      <c r="BL12" t="s">
        <v>1324</v>
      </c>
    </row>
    <row r="13" spans="2:71" x14ac:dyDescent="0.25">
      <c r="G13" t="s">
        <v>1299</v>
      </c>
      <c r="I13" t="s">
        <v>1149</v>
      </c>
      <c r="M13" t="s">
        <v>1335</v>
      </c>
      <c r="N13" t="s">
        <v>1180</v>
      </c>
      <c r="O13" t="s">
        <v>1151</v>
      </c>
      <c r="P13" t="s">
        <v>1266</v>
      </c>
      <c r="Q13" t="s">
        <v>1336</v>
      </c>
      <c r="R13" t="s">
        <v>1151</v>
      </c>
      <c r="S13" t="s">
        <v>1171</v>
      </c>
      <c r="W13" t="s">
        <v>1149</v>
      </c>
      <c r="X13" t="s">
        <v>1337</v>
      </c>
      <c r="Y13" s="71" t="s">
        <v>1338</v>
      </c>
      <c r="Z13" t="s">
        <v>1271</v>
      </c>
      <c r="AB13" t="s">
        <v>1288</v>
      </c>
      <c r="AC13" t="s">
        <v>1149</v>
      </c>
      <c r="AD13" s="71" t="s">
        <v>1151</v>
      </c>
      <c r="AE13" t="s">
        <v>1220</v>
      </c>
      <c r="AF13" t="s">
        <v>1316</v>
      </c>
      <c r="AG13" t="s">
        <v>1339</v>
      </c>
      <c r="AH13" t="s">
        <v>1144</v>
      </c>
      <c r="AI13" s="71" t="s">
        <v>1338</v>
      </c>
      <c r="AJ13" t="s">
        <v>1163</v>
      </c>
      <c r="AK13" t="s">
        <v>1340</v>
      </c>
      <c r="AL13" t="s">
        <v>1260</v>
      </c>
      <c r="AM13" t="s">
        <v>1288</v>
      </c>
      <c r="AN13" t="s">
        <v>1163</v>
      </c>
      <c r="AO13" t="s">
        <v>1341</v>
      </c>
      <c r="AP13" t="s">
        <v>1149</v>
      </c>
      <c r="AQ13" t="s">
        <v>1163</v>
      </c>
      <c r="AR13" t="s">
        <v>1149</v>
      </c>
      <c r="AS13" t="s">
        <v>1161</v>
      </c>
      <c r="AU13" t="s">
        <v>1153</v>
      </c>
      <c r="AV13" t="s">
        <v>1342</v>
      </c>
      <c r="AW13" t="s">
        <v>1268</v>
      </c>
      <c r="AX13" t="s">
        <v>1312</v>
      </c>
      <c r="AY13" t="s">
        <v>1260</v>
      </c>
      <c r="AZ13" t="s">
        <v>1343</v>
      </c>
      <c r="BA13" t="s">
        <v>1340</v>
      </c>
      <c r="BB13" t="s">
        <v>1325</v>
      </c>
      <c r="BC13" t="s">
        <v>1149</v>
      </c>
      <c r="BD13" t="s">
        <v>1344</v>
      </c>
      <c r="BF13" t="s">
        <v>1312</v>
      </c>
      <c r="BG13" t="s">
        <v>1163</v>
      </c>
      <c r="BJ13" t="s">
        <v>4100</v>
      </c>
      <c r="BK13" t="s">
        <v>1305</v>
      </c>
      <c r="BL13" t="s">
        <v>1345</v>
      </c>
    </row>
    <row r="14" spans="2:71" x14ac:dyDescent="0.25">
      <c r="G14" t="s">
        <v>1180</v>
      </c>
      <c r="I14" t="s">
        <v>1163</v>
      </c>
      <c r="M14" t="s">
        <v>1346</v>
      </c>
      <c r="N14" t="s">
        <v>1347</v>
      </c>
      <c r="O14" t="s">
        <v>1348</v>
      </c>
      <c r="P14" t="s">
        <v>1149</v>
      </c>
      <c r="Q14" t="s">
        <v>1267</v>
      </c>
      <c r="R14" t="s">
        <v>1181</v>
      </c>
      <c r="S14" t="s">
        <v>1200</v>
      </c>
      <c r="W14" t="s">
        <v>1149</v>
      </c>
      <c r="X14" t="s">
        <v>1316</v>
      </c>
      <c r="Y14" t="s">
        <v>1184</v>
      </c>
      <c r="Z14" t="s">
        <v>1153</v>
      </c>
      <c r="AB14" t="s">
        <v>1349</v>
      </c>
      <c r="AC14" t="s">
        <v>1350</v>
      </c>
      <c r="AD14" s="71" t="s">
        <v>1351</v>
      </c>
      <c r="AE14" s="71" t="s">
        <v>1153</v>
      </c>
      <c r="AF14" t="s">
        <v>1158</v>
      </c>
      <c r="AG14" t="s">
        <v>1352</v>
      </c>
      <c r="AH14" t="s">
        <v>1205</v>
      </c>
      <c r="AI14" t="s">
        <v>1163</v>
      </c>
      <c r="AJ14" t="s">
        <v>1163</v>
      </c>
      <c r="AK14" t="s">
        <v>1158</v>
      </c>
      <c r="AL14" t="s">
        <v>1163</v>
      </c>
      <c r="AM14" t="s">
        <v>1153</v>
      </c>
      <c r="AN14" t="s">
        <v>1163</v>
      </c>
      <c r="AO14" t="s">
        <v>1353</v>
      </c>
      <c r="AP14" t="s">
        <v>1262</v>
      </c>
      <c r="AQ14" t="s">
        <v>1354</v>
      </c>
      <c r="AR14" t="s">
        <v>1312</v>
      </c>
      <c r="AS14" t="s">
        <v>1355</v>
      </c>
      <c r="AU14" t="s">
        <v>1153</v>
      </c>
      <c r="AV14" t="s">
        <v>1260</v>
      </c>
      <c r="AW14" t="s">
        <v>1163</v>
      </c>
      <c r="AX14" t="s">
        <v>1161</v>
      </c>
      <c r="AY14" t="s">
        <v>1356</v>
      </c>
      <c r="AZ14" t="s">
        <v>1357</v>
      </c>
      <c r="BA14" t="s">
        <v>1200</v>
      </c>
      <c r="BB14" t="s">
        <v>1173</v>
      </c>
      <c r="BC14" t="s">
        <v>1158</v>
      </c>
      <c r="BD14" t="s">
        <v>1173</v>
      </c>
      <c r="BF14" t="s">
        <v>1188</v>
      </c>
      <c r="BG14" t="s">
        <v>1200</v>
      </c>
      <c r="BJ14" t="s">
        <v>1165</v>
      </c>
      <c r="BK14" t="s">
        <v>1165</v>
      </c>
      <c r="BL14" t="s">
        <v>1358</v>
      </c>
    </row>
    <row r="15" spans="2:71" ht="15" customHeight="1" x14ac:dyDescent="0.25">
      <c r="G15" t="s">
        <v>1157</v>
      </c>
      <c r="I15" t="s">
        <v>1158</v>
      </c>
      <c r="M15" t="s">
        <v>1145</v>
      </c>
      <c r="N15" t="s">
        <v>1163</v>
      </c>
      <c r="O15" t="s">
        <v>1359</v>
      </c>
      <c r="P15" t="s">
        <v>1144</v>
      </c>
      <c r="Q15" t="s">
        <v>1147</v>
      </c>
      <c r="R15" t="s">
        <v>1151</v>
      </c>
      <c r="S15" t="s">
        <v>1200</v>
      </c>
      <c r="W15" t="s">
        <v>1158</v>
      </c>
      <c r="X15" t="s">
        <v>1360</v>
      </c>
      <c r="Y15" t="s">
        <v>1163</v>
      </c>
      <c r="Z15" t="s">
        <v>1153</v>
      </c>
      <c r="AB15" t="s">
        <v>1192</v>
      </c>
      <c r="AC15" t="s">
        <v>1163</v>
      </c>
      <c r="AD15" t="s">
        <v>1361</v>
      </c>
      <c r="AE15" s="71" t="s">
        <v>1153</v>
      </c>
      <c r="AF15" t="s">
        <v>1339</v>
      </c>
      <c r="AG15" t="s">
        <v>1362</v>
      </c>
      <c r="AH15" t="s">
        <v>1230</v>
      </c>
      <c r="AI15" t="s">
        <v>1192</v>
      </c>
      <c r="AJ15" t="s">
        <v>1184</v>
      </c>
      <c r="AK15" t="s">
        <v>1200</v>
      </c>
      <c r="AL15" t="s">
        <v>1270</v>
      </c>
      <c r="AM15" t="s">
        <v>1153</v>
      </c>
      <c r="AN15" t="s">
        <v>1363</v>
      </c>
      <c r="AO15" t="s">
        <v>1149</v>
      </c>
      <c r="AP15" t="s">
        <v>1163</v>
      </c>
      <c r="AQ15" t="s">
        <v>1192</v>
      </c>
      <c r="AR15" t="s">
        <v>1149</v>
      </c>
      <c r="AS15" t="s">
        <v>1150</v>
      </c>
      <c r="AU15" t="s">
        <v>1153</v>
      </c>
      <c r="AV15" t="s">
        <v>1163</v>
      </c>
      <c r="AW15" s="71" t="s">
        <v>1364</v>
      </c>
      <c r="AX15" t="s">
        <v>1153</v>
      </c>
      <c r="AY15" t="s">
        <v>1365</v>
      </c>
      <c r="AZ15" t="s">
        <v>1181</v>
      </c>
      <c r="BA15" t="s">
        <v>1260</v>
      </c>
      <c r="BB15" t="s">
        <v>1260</v>
      </c>
      <c r="BC15" t="s">
        <v>1152</v>
      </c>
      <c r="BD15" t="s">
        <v>1163</v>
      </c>
      <c r="BF15" t="s">
        <v>1158</v>
      </c>
      <c r="BG15" t="s">
        <v>1163</v>
      </c>
      <c r="BJ15" t="s">
        <v>1163</v>
      </c>
      <c r="BK15" t="s">
        <v>1163</v>
      </c>
      <c r="BL15" t="s">
        <v>1066</v>
      </c>
    </row>
    <row r="16" spans="2:71" x14ac:dyDescent="0.25">
      <c r="G16" t="s">
        <v>1149</v>
      </c>
      <c r="I16" t="s">
        <v>1340</v>
      </c>
      <c r="M16" t="s">
        <v>1366</v>
      </c>
      <c r="N16" t="s">
        <v>1158</v>
      </c>
      <c r="O16" t="s">
        <v>1158</v>
      </c>
      <c r="P16" t="s">
        <v>1288</v>
      </c>
      <c r="Q16" t="s">
        <v>1158</v>
      </c>
      <c r="R16" t="s">
        <v>1282</v>
      </c>
      <c r="S16" t="s">
        <v>1151</v>
      </c>
      <c r="W16" t="s">
        <v>1158</v>
      </c>
      <c r="X16" t="s">
        <v>1158</v>
      </c>
      <c r="Y16" t="s">
        <v>1251</v>
      </c>
      <c r="Z16" t="s">
        <v>1165</v>
      </c>
      <c r="AB16" t="s">
        <v>1241</v>
      </c>
      <c r="AC16" t="s">
        <v>1145</v>
      </c>
      <c r="AE16" s="71" t="s">
        <v>1153</v>
      </c>
      <c r="AF16" t="s">
        <v>1283</v>
      </c>
      <c r="AG16" t="s">
        <v>1367</v>
      </c>
      <c r="AH16" t="s">
        <v>1368</v>
      </c>
      <c r="AI16" t="s">
        <v>1369</v>
      </c>
      <c r="AJ16" t="s">
        <v>1251</v>
      </c>
      <c r="AK16" t="s">
        <v>1204</v>
      </c>
      <c r="AL16" t="s">
        <v>1196</v>
      </c>
      <c r="AM16" s="71" t="s">
        <v>1370</v>
      </c>
      <c r="AN16" t="s">
        <v>1371</v>
      </c>
      <c r="AO16" t="s">
        <v>1144</v>
      </c>
      <c r="AP16" t="s">
        <v>1148</v>
      </c>
      <c r="AQ16" t="s">
        <v>1372</v>
      </c>
      <c r="AR16" t="s">
        <v>1160</v>
      </c>
      <c r="AS16" t="s">
        <v>1373</v>
      </c>
      <c r="AU16" t="s">
        <v>1158</v>
      </c>
      <c r="AV16" t="s">
        <v>1374</v>
      </c>
      <c r="AW16" t="s">
        <v>1163</v>
      </c>
      <c r="AX16" t="s">
        <v>1149</v>
      </c>
      <c r="AY16" t="s">
        <v>1375</v>
      </c>
      <c r="AZ16" t="s">
        <v>1192</v>
      </c>
      <c r="BA16" t="s">
        <v>1356</v>
      </c>
      <c r="BB16" t="s">
        <v>1376</v>
      </c>
      <c r="BC16" t="s">
        <v>1163</v>
      </c>
      <c r="BD16" t="s">
        <v>1192</v>
      </c>
      <c r="BF16" t="s">
        <v>1340</v>
      </c>
      <c r="BG16" t="s">
        <v>1377</v>
      </c>
      <c r="BJ16" t="s">
        <v>1573</v>
      </c>
      <c r="BK16" t="s">
        <v>1195</v>
      </c>
      <c r="BL16" t="s">
        <v>1345</v>
      </c>
    </row>
    <row r="17" spans="7:64" x14ac:dyDescent="0.25">
      <c r="G17" s="71" t="s">
        <v>1163</v>
      </c>
      <c r="I17" t="s">
        <v>1378</v>
      </c>
      <c r="M17" t="s">
        <v>1151</v>
      </c>
      <c r="N17" t="s">
        <v>1171</v>
      </c>
      <c r="O17" t="s">
        <v>1379</v>
      </c>
      <c r="P17" t="s">
        <v>1184</v>
      </c>
      <c r="Q17" t="s">
        <v>4154</v>
      </c>
      <c r="R17" t="s">
        <v>1316</v>
      </c>
      <c r="S17" t="s">
        <v>1200</v>
      </c>
      <c r="W17" t="s">
        <v>1158</v>
      </c>
      <c r="X17" t="s">
        <v>1347</v>
      </c>
      <c r="Y17" t="s">
        <v>1192</v>
      </c>
      <c r="Z17" t="s">
        <v>1380</v>
      </c>
      <c r="AB17" t="s">
        <v>1163</v>
      </c>
      <c r="AC17" t="s">
        <v>1379</v>
      </c>
      <c r="AE17" t="s">
        <v>1153</v>
      </c>
      <c r="AF17" t="s">
        <v>1381</v>
      </c>
      <c r="AG17" t="s">
        <v>1382</v>
      </c>
      <c r="AH17" t="s">
        <v>1153</v>
      </c>
      <c r="AI17" t="s">
        <v>1316</v>
      </c>
      <c r="AJ17" t="s">
        <v>1192</v>
      </c>
      <c r="AK17" t="s">
        <v>1271</v>
      </c>
      <c r="AL17" s="71" t="s">
        <v>1200</v>
      </c>
      <c r="AM17" s="71" t="s">
        <v>1370</v>
      </c>
      <c r="AN17" t="s">
        <v>1383</v>
      </c>
      <c r="AO17" t="s">
        <v>1288</v>
      </c>
      <c r="AP17" t="s">
        <v>1384</v>
      </c>
      <c r="AQ17" t="s">
        <v>1163</v>
      </c>
      <c r="AR17" t="s">
        <v>1157</v>
      </c>
      <c r="AS17" t="s">
        <v>1385</v>
      </c>
      <c r="AU17" t="s">
        <v>1383</v>
      </c>
      <c r="AV17" t="s">
        <v>1153</v>
      </c>
      <c r="AW17" t="s">
        <v>1220</v>
      </c>
      <c r="AX17" t="s">
        <v>1144</v>
      </c>
      <c r="AY17" t="s">
        <v>1163</v>
      </c>
      <c r="AZ17" t="s">
        <v>1386</v>
      </c>
      <c r="BA17" t="s">
        <v>1365</v>
      </c>
      <c r="BB17" s="71" t="s">
        <v>1149</v>
      </c>
      <c r="BC17" t="s">
        <v>1377</v>
      </c>
      <c r="BD17" t="s">
        <v>1149</v>
      </c>
      <c r="BF17" t="s">
        <v>1307</v>
      </c>
      <c r="BG17" t="s">
        <v>1160</v>
      </c>
      <c r="BJ17" t="s">
        <v>1432</v>
      </c>
      <c r="BK17" t="s">
        <v>1274</v>
      </c>
      <c r="BL17" t="s">
        <v>1274</v>
      </c>
    </row>
    <row r="18" spans="7:64" x14ac:dyDescent="0.25">
      <c r="G18" s="71" t="s">
        <v>1149</v>
      </c>
      <c r="I18" t="s">
        <v>1378</v>
      </c>
      <c r="M18" t="s">
        <v>1224</v>
      </c>
      <c r="N18" t="s">
        <v>1387</v>
      </c>
      <c r="O18" t="s">
        <v>1181</v>
      </c>
      <c r="P18" t="s">
        <v>1205</v>
      </c>
      <c r="Q18" t="s">
        <v>1200</v>
      </c>
      <c r="R18" t="s">
        <v>1151</v>
      </c>
      <c r="S18" t="s">
        <v>1151</v>
      </c>
      <c r="W18" t="s">
        <v>1158</v>
      </c>
      <c r="X18" t="s">
        <v>1145</v>
      </c>
      <c r="Y18" t="s">
        <v>1241</v>
      </c>
      <c r="Z18" t="s">
        <v>680</v>
      </c>
      <c r="AB18" t="s">
        <v>1388</v>
      </c>
      <c r="AC18" t="s">
        <v>1151</v>
      </c>
      <c r="AE18" t="s">
        <v>1153</v>
      </c>
      <c r="AF18" t="s">
        <v>1180</v>
      </c>
      <c r="AG18" t="s">
        <v>1271</v>
      </c>
      <c r="AH18" t="s">
        <v>1153</v>
      </c>
      <c r="AI18" t="s">
        <v>1309</v>
      </c>
      <c r="AJ18" t="s">
        <v>1241</v>
      </c>
      <c r="AK18" t="s">
        <v>1304</v>
      </c>
      <c r="AL18" t="s">
        <v>1158</v>
      </c>
      <c r="AM18" t="s">
        <v>1389</v>
      </c>
      <c r="AN18" t="s">
        <v>1163</v>
      </c>
      <c r="AO18" t="s">
        <v>1184</v>
      </c>
      <c r="AP18" t="s">
        <v>1353</v>
      </c>
      <c r="AQ18" t="s">
        <v>1163</v>
      </c>
      <c r="AR18" t="s">
        <v>1377</v>
      </c>
      <c r="AS18" t="s">
        <v>1364</v>
      </c>
      <c r="AU18" t="s">
        <v>1153</v>
      </c>
      <c r="AV18" t="s">
        <v>1238</v>
      </c>
      <c r="AW18" t="s">
        <v>1154</v>
      </c>
      <c r="AX18" t="s">
        <v>1288</v>
      </c>
      <c r="AY18" t="s">
        <v>1358</v>
      </c>
      <c r="AZ18" t="s">
        <v>1368</v>
      </c>
      <c r="BA18" t="s">
        <v>1375</v>
      </c>
      <c r="BB18" t="s">
        <v>1260</v>
      </c>
      <c r="BC18" t="s">
        <v>1149</v>
      </c>
      <c r="BD18" t="s">
        <v>1144</v>
      </c>
      <c r="BF18" t="s">
        <v>1207</v>
      </c>
      <c r="BG18" t="s">
        <v>1163</v>
      </c>
      <c r="BJ18" t="s">
        <v>1274</v>
      </c>
      <c r="BK18" t="s">
        <v>1450</v>
      </c>
      <c r="BL18" t="s">
        <v>1312</v>
      </c>
    </row>
    <row r="19" spans="7:64" x14ac:dyDescent="0.25">
      <c r="G19" t="s">
        <v>1149</v>
      </c>
      <c r="I19" t="s">
        <v>1378</v>
      </c>
      <c r="M19" t="s">
        <v>1271</v>
      </c>
      <c r="N19" t="s">
        <v>1390</v>
      </c>
      <c r="O19" t="s">
        <v>1158</v>
      </c>
      <c r="P19" t="s">
        <v>1230</v>
      </c>
      <c r="Q19" t="s">
        <v>4155</v>
      </c>
      <c r="R19" t="s">
        <v>1348</v>
      </c>
      <c r="S19" t="s">
        <v>1282</v>
      </c>
      <c r="W19" t="s">
        <v>1158</v>
      </c>
      <c r="X19" t="s">
        <v>1304</v>
      </c>
      <c r="Y19" t="s">
        <v>1288</v>
      </c>
      <c r="Z19" t="s">
        <v>1163</v>
      </c>
      <c r="AB19" t="s">
        <v>1153</v>
      </c>
      <c r="AC19" t="s">
        <v>1379</v>
      </c>
      <c r="AE19" t="s">
        <v>1158</v>
      </c>
      <c r="AF19" t="s">
        <v>1171</v>
      </c>
      <c r="AG19" t="s">
        <v>1187</v>
      </c>
      <c r="AH19" t="s">
        <v>1153</v>
      </c>
      <c r="AI19" t="s">
        <v>1391</v>
      </c>
      <c r="AJ19" s="71" t="s">
        <v>1153</v>
      </c>
      <c r="AK19" t="s">
        <v>1392</v>
      </c>
      <c r="AL19" t="s">
        <v>1393</v>
      </c>
      <c r="AM19" t="s">
        <v>1394</v>
      </c>
      <c r="AN19" t="s">
        <v>1210</v>
      </c>
      <c r="AO19" t="s">
        <v>1205</v>
      </c>
      <c r="AP19" t="s">
        <v>1395</v>
      </c>
      <c r="AQ19" t="s">
        <v>1163</v>
      </c>
      <c r="AR19" t="s">
        <v>1181</v>
      </c>
      <c r="AS19" t="s">
        <v>1158</v>
      </c>
      <c r="AU19" t="s">
        <v>1163</v>
      </c>
      <c r="AV19" t="s">
        <v>1195</v>
      </c>
      <c r="AW19" t="s">
        <v>1396</v>
      </c>
      <c r="AX19" t="s">
        <v>1184</v>
      </c>
      <c r="AZ19" t="s">
        <v>1184</v>
      </c>
      <c r="BA19" s="71" t="s">
        <v>1163</v>
      </c>
      <c r="BB19" t="s">
        <v>1397</v>
      </c>
      <c r="BC19" t="s">
        <v>1149</v>
      </c>
      <c r="BD19" t="s">
        <v>1288</v>
      </c>
      <c r="BF19" t="s">
        <v>1163</v>
      </c>
      <c r="BG19" t="s">
        <v>1258</v>
      </c>
      <c r="BJ19" t="s">
        <v>1450</v>
      </c>
      <c r="BK19" t="s">
        <v>1459</v>
      </c>
      <c r="BL19" t="s">
        <v>1398</v>
      </c>
    </row>
    <row r="20" spans="7:64" x14ac:dyDescent="0.25">
      <c r="G20" t="s">
        <v>1149</v>
      </c>
      <c r="I20" t="s">
        <v>1378</v>
      </c>
      <c r="M20" t="s">
        <v>1399</v>
      </c>
      <c r="N20" t="s">
        <v>1400</v>
      </c>
      <c r="O20" t="s">
        <v>1151</v>
      </c>
      <c r="P20" t="s">
        <v>1251</v>
      </c>
      <c r="Q20" t="s">
        <v>4182</v>
      </c>
      <c r="R20" t="s">
        <v>1359</v>
      </c>
      <c r="S20" t="s">
        <v>1200</v>
      </c>
      <c r="W20" t="s">
        <v>1188</v>
      </c>
      <c r="X20" t="s">
        <v>1188</v>
      </c>
      <c r="Y20" t="s">
        <v>1205</v>
      </c>
      <c r="Z20" t="s">
        <v>1157</v>
      </c>
      <c r="AB20" t="s">
        <v>1153</v>
      </c>
      <c r="AC20" t="s">
        <v>1145</v>
      </c>
      <c r="AE20" t="s">
        <v>1401</v>
      </c>
      <c r="AF20" t="s">
        <v>1402</v>
      </c>
      <c r="AG20" t="s">
        <v>1145</v>
      </c>
      <c r="AH20" s="71" t="s">
        <v>1153</v>
      </c>
      <c r="AI20" t="s">
        <v>1166</v>
      </c>
      <c r="AJ20" s="71" t="s">
        <v>1153</v>
      </c>
      <c r="AK20" t="s">
        <v>1392</v>
      </c>
      <c r="AL20" t="s">
        <v>1403</v>
      </c>
      <c r="AM20" t="s">
        <v>1181</v>
      </c>
      <c r="AN20" t="s">
        <v>1181</v>
      </c>
      <c r="AO20" t="s">
        <v>1230</v>
      </c>
      <c r="AP20" t="s">
        <v>1258</v>
      </c>
      <c r="AQ20" t="s">
        <v>1163</v>
      </c>
      <c r="AR20" t="s">
        <v>1149</v>
      </c>
      <c r="AS20" t="s">
        <v>1153</v>
      </c>
      <c r="AU20" t="s">
        <v>1181</v>
      </c>
      <c r="AV20" t="s">
        <v>1283</v>
      </c>
      <c r="AW20" t="s">
        <v>1216</v>
      </c>
      <c r="AX20" t="s">
        <v>1205</v>
      </c>
      <c r="AZ20" t="s">
        <v>1241</v>
      </c>
      <c r="BA20" t="s">
        <v>1358</v>
      </c>
      <c r="BB20" t="s">
        <v>1160</v>
      </c>
      <c r="BC20" t="s">
        <v>1144</v>
      </c>
      <c r="BD20" t="s">
        <v>1184</v>
      </c>
      <c r="BF20" t="s">
        <v>1163</v>
      </c>
      <c r="BG20" t="s">
        <v>1188</v>
      </c>
      <c r="BJ20" t="s">
        <v>1459</v>
      </c>
      <c r="BK20" t="s">
        <v>1464</v>
      </c>
      <c r="BL20" t="s">
        <v>1404</v>
      </c>
    </row>
    <row r="21" spans="7:64" x14ac:dyDescent="0.25">
      <c r="G21" t="s">
        <v>1149</v>
      </c>
      <c r="I21" t="s">
        <v>1378</v>
      </c>
      <c r="M21" t="s">
        <v>1177</v>
      </c>
      <c r="N21" t="s">
        <v>1145</v>
      </c>
      <c r="O21" t="s">
        <v>1252</v>
      </c>
      <c r="P21" t="s">
        <v>1192</v>
      </c>
      <c r="Q21" t="s">
        <v>1181</v>
      </c>
      <c r="R21" t="s">
        <v>1154</v>
      </c>
      <c r="S21" t="s">
        <v>1145</v>
      </c>
      <c r="W21" t="s">
        <v>1405</v>
      </c>
      <c r="X21" t="s">
        <v>1315</v>
      </c>
      <c r="Y21" t="s">
        <v>1180</v>
      </c>
      <c r="Z21" t="s">
        <v>1325</v>
      </c>
      <c r="AB21" t="s">
        <v>1153</v>
      </c>
      <c r="AC21" t="s">
        <v>1144</v>
      </c>
      <c r="AE21" t="s">
        <v>1406</v>
      </c>
      <c r="AF21" t="s">
        <v>1151</v>
      </c>
      <c r="AG21" t="s">
        <v>1316</v>
      </c>
      <c r="AH21" s="71" t="s">
        <v>1153</v>
      </c>
      <c r="AI21" t="s">
        <v>1190</v>
      </c>
      <c r="AJ21" t="s">
        <v>1153</v>
      </c>
      <c r="AK21" t="s">
        <v>1188</v>
      </c>
      <c r="AL21" t="s">
        <v>1163</v>
      </c>
      <c r="AM21" t="s">
        <v>1216</v>
      </c>
      <c r="AN21" t="s">
        <v>1353</v>
      </c>
      <c r="AO21" t="s">
        <v>1251</v>
      </c>
      <c r="AP21" t="s">
        <v>1196</v>
      </c>
      <c r="AQ21" t="s">
        <v>1163</v>
      </c>
      <c r="AR21" t="s">
        <v>1149</v>
      </c>
      <c r="AS21" t="s">
        <v>1158</v>
      </c>
      <c r="AU21" t="s">
        <v>1192</v>
      </c>
      <c r="AV21" t="s">
        <v>1163</v>
      </c>
      <c r="AW21" t="s">
        <v>1407</v>
      </c>
      <c r="AX21" t="s">
        <v>1230</v>
      </c>
      <c r="AZ21" t="s">
        <v>1192</v>
      </c>
      <c r="BA21" t="s">
        <v>1204</v>
      </c>
      <c r="BB21" t="s">
        <v>1408</v>
      </c>
      <c r="BC21" t="s">
        <v>1288</v>
      </c>
      <c r="BD21" t="s">
        <v>1205</v>
      </c>
      <c r="BF21" t="s">
        <v>1181</v>
      </c>
      <c r="BG21" t="s">
        <v>1163</v>
      </c>
      <c r="BJ21" t="s">
        <v>1464</v>
      </c>
      <c r="BK21" t="s">
        <v>1192</v>
      </c>
      <c r="BL21" t="s">
        <v>1181</v>
      </c>
    </row>
    <row r="22" spans="7:64" x14ac:dyDescent="0.25">
      <c r="G22" t="s">
        <v>1149</v>
      </c>
      <c r="I22" t="s">
        <v>1378</v>
      </c>
      <c r="M22" t="s">
        <v>1177</v>
      </c>
      <c r="N22" t="s">
        <v>1379</v>
      </c>
      <c r="P22" t="s">
        <v>1241</v>
      </c>
      <c r="Q22" t="s">
        <v>1304</v>
      </c>
      <c r="R22" t="s">
        <v>1409</v>
      </c>
      <c r="S22" t="s">
        <v>1410</v>
      </c>
      <c r="W22" t="s">
        <v>1181</v>
      </c>
      <c r="X22" t="s">
        <v>1145</v>
      </c>
      <c r="Y22" t="s">
        <v>1153</v>
      </c>
      <c r="Z22" t="s">
        <v>1282</v>
      </c>
      <c r="AB22" t="s">
        <v>1153</v>
      </c>
      <c r="AC22" t="s">
        <v>1318</v>
      </c>
      <c r="AE22" t="s">
        <v>1145</v>
      </c>
      <c r="AF22" t="s">
        <v>1154</v>
      </c>
      <c r="AG22" t="s">
        <v>1411</v>
      </c>
      <c r="AH22" t="s">
        <v>1408</v>
      </c>
      <c r="AI22" t="s">
        <v>1163</v>
      </c>
      <c r="AJ22" t="s">
        <v>1153</v>
      </c>
      <c r="AK22" t="s">
        <v>1153</v>
      </c>
      <c r="AL22" t="s">
        <v>1200</v>
      </c>
      <c r="AM22" s="71" t="s">
        <v>1370</v>
      </c>
      <c r="AN22" t="s">
        <v>1395</v>
      </c>
      <c r="AO22" t="s">
        <v>1192</v>
      </c>
      <c r="AP22" t="s">
        <v>1412</v>
      </c>
      <c r="AQ22" t="s">
        <v>1413</v>
      </c>
      <c r="AR22" t="s">
        <v>1144</v>
      </c>
      <c r="AS22" t="s">
        <v>1414</v>
      </c>
      <c r="AU22" t="s">
        <v>1153</v>
      </c>
      <c r="AV22" t="s">
        <v>1368</v>
      </c>
      <c r="AW22" t="s">
        <v>1161</v>
      </c>
      <c r="AX22" t="s">
        <v>1251</v>
      </c>
      <c r="AZ22" t="s">
        <v>1251</v>
      </c>
      <c r="BA22" t="s">
        <v>1271</v>
      </c>
      <c r="BB22" t="s">
        <v>1165</v>
      </c>
      <c r="BC22" t="s">
        <v>1184</v>
      </c>
      <c r="BD22" t="s">
        <v>1230</v>
      </c>
      <c r="BF22" t="s">
        <v>1415</v>
      </c>
      <c r="BG22" t="s">
        <v>1163</v>
      </c>
      <c r="BJ22" t="s">
        <v>1470</v>
      </c>
      <c r="BK22" t="s">
        <v>1470</v>
      </c>
      <c r="BL22" t="s">
        <v>1428</v>
      </c>
    </row>
    <row r="23" spans="7:64" x14ac:dyDescent="0.25">
      <c r="G23" t="s">
        <v>1149</v>
      </c>
      <c r="I23" t="s">
        <v>1273</v>
      </c>
      <c r="M23" t="s">
        <v>1270</v>
      </c>
      <c r="N23" t="s">
        <v>1145</v>
      </c>
      <c r="P23" t="s">
        <v>1196</v>
      </c>
      <c r="Q23" t="s">
        <v>1184</v>
      </c>
      <c r="R23" t="s">
        <v>1416</v>
      </c>
      <c r="S23" t="s">
        <v>1144</v>
      </c>
      <c r="W23" s="71" t="s">
        <v>1151</v>
      </c>
      <c r="X23" t="s">
        <v>1158</v>
      </c>
      <c r="Y23" t="s">
        <v>1153</v>
      </c>
      <c r="Z23" t="s">
        <v>1195</v>
      </c>
      <c r="AB23" t="s">
        <v>1153</v>
      </c>
      <c r="AC23" t="s">
        <v>1337</v>
      </c>
      <c r="AE23" t="s">
        <v>1151</v>
      </c>
      <c r="AF23" t="s">
        <v>1417</v>
      </c>
      <c r="AG23" t="s">
        <v>1418</v>
      </c>
      <c r="AH23" t="s">
        <v>1419</v>
      </c>
      <c r="AI23" t="s">
        <v>1184</v>
      </c>
      <c r="AJ23" t="s">
        <v>1153</v>
      </c>
      <c r="AK23" t="s">
        <v>1420</v>
      </c>
      <c r="AL23" t="s">
        <v>1238</v>
      </c>
      <c r="AM23" t="s">
        <v>1370</v>
      </c>
      <c r="AN23" t="s">
        <v>1421</v>
      </c>
      <c r="AO23" t="s">
        <v>1241</v>
      </c>
      <c r="AP23" t="s">
        <v>1422</v>
      </c>
      <c r="AQ23" t="s">
        <v>1192</v>
      </c>
      <c r="AR23" t="s">
        <v>1288</v>
      </c>
      <c r="AS23" t="s">
        <v>1164</v>
      </c>
      <c r="AU23" t="s">
        <v>1407</v>
      </c>
      <c r="AV23" t="s">
        <v>1184</v>
      </c>
      <c r="AW23" t="s">
        <v>1423</v>
      </c>
      <c r="AX23" t="s">
        <v>1192</v>
      </c>
      <c r="AZ23" t="s">
        <v>1144</v>
      </c>
      <c r="BA23" t="s">
        <v>1304</v>
      </c>
      <c r="BB23" t="s">
        <v>1163</v>
      </c>
      <c r="BC23" t="s">
        <v>1205</v>
      </c>
      <c r="BD23" t="s">
        <v>1251</v>
      </c>
      <c r="BF23" t="s">
        <v>1422</v>
      </c>
      <c r="BG23" t="s">
        <v>1181</v>
      </c>
      <c r="BJ23" t="s">
        <v>1296</v>
      </c>
      <c r="BK23" t="s">
        <v>1296</v>
      </c>
      <c r="BL23" t="s">
        <v>1323</v>
      </c>
    </row>
    <row r="24" spans="7:64" x14ac:dyDescent="0.25">
      <c r="G24" t="s">
        <v>1149</v>
      </c>
      <c r="I24" t="s">
        <v>1163</v>
      </c>
      <c r="M24" t="s">
        <v>1424</v>
      </c>
      <c r="N24" t="s">
        <v>1181</v>
      </c>
      <c r="P24" t="s">
        <v>1283</v>
      </c>
      <c r="Q24" t="s">
        <v>4187</v>
      </c>
      <c r="R24" t="s">
        <v>1425</v>
      </c>
      <c r="W24" t="s">
        <v>1151</v>
      </c>
      <c r="X24" t="s">
        <v>1158</v>
      </c>
      <c r="Y24" t="s">
        <v>1153</v>
      </c>
      <c r="Z24" t="s">
        <v>1181</v>
      </c>
      <c r="AB24" t="s">
        <v>1158</v>
      </c>
      <c r="AC24" t="s">
        <v>1316</v>
      </c>
      <c r="AE24" t="s">
        <v>1351</v>
      </c>
      <c r="AF24" t="s">
        <v>1316</v>
      </c>
      <c r="AG24" t="s">
        <v>1173</v>
      </c>
      <c r="AH24" t="s">
        <v>1163</v>
      </c>
      <c r="AI24" t="s">
        <v>1251</v>
      </c>
      <c r="AJ24" t="s">
        <v>1181</v>
      </c>
      <c r="AK24" t="s">
        <v>1392</v>
      </c>
      <c r="AL24" t="s">
        <v>1163</v>
      </c>
      <c r="AM24" t="s">
        <v>1370</v>
      </c>
      <c r="AN24" t="s">
        <v>1426</v>
      </c>
      <c r="AO24" t="s">
        <v>1153</v>
      </c>
      <c r="AP24" t="s">
        <v>1427</v>
      </c>
      <c r="AQ24" t="s">
        <v>1386</v>
      </c>
      <c r="AR24" t="s">
        <v>1184</v>
      </c>
      <c r="AS24" t="s">
        <v>1315</v>
      </c>
      <c r="AU24" t="s">
        <v>1212</v>
      </c>
      <c r="AV24" t="s">
        <v>1241</v>
      </c>
      <c r="AW24" t="s">
        <v>1192</v>
      </c>
      <c r="AX24" t="s">
        <v>1241</v>
      </c>
      <c r="AZ24" t="s">
        <v>1205</v>
      </c>
      <c r="BA24" t="s">
        <v>1175</v>
      </c>
      <c r="BB24" t="s">
        <v>1195</v>
      </c>
      <c r="BC24" t="s">
        <v>1230</v>
      </c>
      <c r="BD24" t="s">
        <v>1192</v>
      </c>
      <c r="BF24" t="s">
        <v>1388</v>
      </c>
      <c r="BG24" t="s">
        <v>1175</v>
      </c>
      <c r="BJ24" t="s">
        <v>1253</v>
      </c>
      <c r="BK24" t="s">
        <v>1416</v>
      </c>
      <c r="BL24" t="s">
        <v>1149</v>
      </c>
    </row>
    <row r="25" spans="7:64" x14ac:dyDescent="0.25">
      <c r="G25" t="s">
        <v>1149</v>
      </c>
      <c r="I25" t="s">
        <v>1428</v>
      </c>
      <c r="N25" t="s">
        <v>1429</v>
      </c>
      <c r="P25" t="s">
        <v>1154</v>
      </c>
      <c r="Q25" t="s">
        <v>1316</v>
      </c>
      <c r="R25" t="s">
        <v>1430</v>
      </c>
      <c r="W25" t="s">
        <v>1171</v>
      </c>
      <c r="X25" t="s">
        <v>1392</v>
      </c>
      <c r="Y25" t="s">
        <v>1153</v>
      </c>
      <c r="Z25" t="s">
        <v>1145</v>
      </c>
      <c r="AB25" t="s">
        <v>1154</v>
      </c>
      <c r="AC25" t="s">
        <v>1360</v>
      </c>
      <c r="AE25" t="s">
        <v>1153</v>
      </c>
      <c r="AF25" t="s">
        <v>1171</v>
      </c>
      <c r="AG25" t="s">
        <v>1431</v>
      </c>
      <c r="AH25" t="s">
        <v>1432</v>
      </c>
      <c r="AI25" t="s">
        <v>1192</v>
      </c>
      <c r="AJ25" t="s">
        <v>1163</v>
      </c>
      <c r="AK25" t="s">
        <v>1392</v>
      </c>
      <c r="AL25" t="s">
        <v>1181</v>
      </c>
      <c r="AM25" t="s">
        <v>1370</v>
      </c>
      <c r="AN25" t="s">
        <v>1433</v>
      </c>
      <c r="AO25" t="s">
        <v>1153</v>
      </c>
      <c r="AP25" t="s">
        <v>1434</v>
      </c>
      <c r="AQ25" s="71" t="s">
        <v>1181</v>
      </c>
      <c r="AR25" t="s">
        <v>1205</v>
      </c>
      <c r="AS25" t="s">
        <v>1171</v>
      </c>
      <c r="AU25" t="s">
        <v>1435</v>
      </c>
      <c r="AV25" t="s">
        <v>1192</v>
      </c>
      <c r="AW25" t="s">
        <v>1149</v>
      </c>
      <c r="AX25" t="s">
        <v>1153</v>
      </c>
      <c r="AZ25" t="s">
        <v>1230</v>
      </c>
      <c r="BA25" t="s">
        <v>1436</v>
      </c>
      <c r="BB25" t="s">
        <v>1223</v>
      </c>
      <c r="BC25" t="s">
        <v>1251</v>
      </c>
      <c r="BD25" s="71" t="s">
        <v>1241</v>
      </c>
      <c r="BF25" t="s">
        <v>1437</v>
      </c>
      <c r="BG25" t="s">
        <v>1149</v>
      </c>
      <c r="BJ25" t="s">
        <v>1416</v>
      </c>
      <c r="BK25" t="s">
        <v>1495</v>
      </c>
      <c r="BL25" t="s">
        <v>1144</v>
      </c>
    </row>
    <row r="26" spans="7:64" x14ac:dyDescent="0.25">
      <c r="G26" t="s">
        <v>1149</v>
      </c>
      <c r="I26" t="s">
        <v>1163</v>
      </c>
      <c r="N26" t="s">
        <v>1347</v>
      </c>
      <c r="P26" t="s">
        <v>1144</v>
      </c>
      <c r="Q26" t="s">
        <v>4043</v>
      </c>
      <c r="R26" t="s">
        <v>1438</v>
      </c>
      <c r="W26" t="s">
        <v>1180</v>
      </c>
      <c r="X26" t="s">
        <v>1346</v>
      </c>
      <c r="Y26" t="s">
        <v>1153</v>
      </c>
      <c r="Z26" t="s">
        <v>1304</v>
      </c>
      <c r="AB26" t="s">
        <v>1304</v>
      </c>
      <c r="AC26" t="s">
        <v>1171</v>
      </c>
      <c r="AE26" t="s">
        <v>1153</v>
      </c>
      <c r="AF26" t="s">
        <v>1439</v>
      </c>
      <c r="AG26" t="s">
        <v>1226</v>
      </c>
      <c r="AH26" t="s">
        <v>1163</v>
      </c>
      <c r="AI26" t="s">
        <v>1241</v>
      </c>
      <c r="AJ26" t="s">
        <v>1440</v>
      </c>
      <c r="AK26" t="s">
        <v>1163</v>
      </c>
      <c r="AL26" t="s">
        <v>1350</v>
      </c>
      <c r="AM26" t="s">
        <v>1370</v>
      </c>
      <c r="AN26" t="s">
        <v>1441</v>
      </c>
      <c r="AO26" t="s">
        <v>1153</v>
      </c>
      <c r="AP26" t="s">
        <v>1365</v>
      </c>
      <c r="AQ26" t="s">
        <v>1163</v>
      </c>
      <c r="AR26" t="s">
        <v>1230</v>
      </c>
      <c r="AS26" t="s">
        <v>1442</v>
      </c>
      <c r="AU26" t="s">
        <v>1163</v>
      </c>
      <c r="AV26" t="s">
        <v>1251</v>
      </c>
      <c r="AW26" t="s">
        <v>1388</v>
      </c>
      <c r="AX26" t="s">
        <v>1153</v>
      </c>
      <c r="AZ26" t="s">
        <v>1288</v>
      </c>
      <c r="BA26" t="s">
        <v>1412</v>
      </c>
      <c r="BB26" t="s">
        <v>1403</v>
      </c>
      <c r="BC26" t="s">
        <v>1192</v>
      </c>
      <c r="BD26" t="s">
        <v>1153</v>
      </c>
      <c r="BF26" t="s">
        <v>1304</v>
      </c>
      <c r="BG26" t="s">
        <v>1144</v>
      </c>
      <c r="BJ26" t="s">
        <v>1495</v>
      </c>
      <c r="BK26" t="s">
        <v>1253</v>
      </c>
      <c r="BL26" t="s">
        <v>1288</v>
      </c>
    </row>
    <row r="27" spans="7:64" x14ac:dyDescent="0.25">
      <c r="G27" t="s">
        <v>1149</v>
      </c>
      <c r="I27" t="s">
        <v>1416</v>
      </c>
      <c r="N27" t="s">
        <v>1188</v>
      </c>
      <c r="P27" t="s">
        <v>1281</v>
      </c>
      <c r="Q27" t="s">
        <v>4188</v>
      </c>
      <c r="R27" t="s">
        <v>1443</v>
      </c>
      <c r="W27" t="s">
        <v>1158</v>
      </c>
      <c r="X27" t="s">
        <v>1344</v>
      </c>
      <c r="Y27" t="s">
        <v>1444</v>
      </c>
      <c r="Z27" t="s">
        <v>1422</v>
      </c>
      <c r="AB27" t="s">
        <v>1445</v>
      </c>
      <c r="AC27" t="s">
        <v>1446</v>
      </c>
      <c r="AE27" t="s">
        <v>1153</v>
      </c>
      <c r="AF27" t="s">
        <v>1197</v>
      </c>
      <c r="AG27" s="71" t="s">
        <v>1271</v>
      </c>
      <c r="AH27" t="s">
        <v>1163</v>
      </c>
      <c r="AI27" t="s">
        <v>1447</v>
      </c>
      <c r="AJ27" t="s">
        <v>1163</v>
      </c>
      <c r="AK27" t="s">
        <v>1195</v>
      </c>
      <c r="AL27" t="s">
        <v>1212</v>
      </c>
      <c r="AM27" t="s">
        <v>1405</v>
      </c>
      <c r="AN27" t="s">
        <v>1163</v>
      </c>
      <c r="AO27" t="s">
        <v>1153</v>
      </c>
      <c r="AP27" t="s">
        <v>1149</v>
      </c>
      <c r="AQ27" t="s">
        <v>1448</v>
      </c>
      <c r="AR27" t="s">
        <v>1251</v>
      </c>
      <c r="AS27" t="s">
        <v>1188</v>
      </c>
      <c r="AU27" t="s">
        <v>1316</v>
      </c>
      <c r="AV27" t="s">
        <v>1144</v>
      </c>
      <c r="AW27" t="s">
        <v>1284</v>
      </c>
      <c r="AX27" t="s">
        <v>1153</v>
      </c>
      <c r="AZ27" t="s">
        <v>1153</v>
      </c>
      <c r="BA27" t="s">
        <v>1449</v>
      </c>
      <c r="BB27" t="s">
        <v>1450</v>
      </c>
      <c r="BC27" t="s">
        <v>1241</v>
      </c>
      <c r="BD27" t="s">
        <v>1153</v>
      </c>
      <c r="BF27" t="s">
        <v>1353</v>
      </c>
      <c r="BG27" t="s">
        <v>1288</v>
      </c>
      <c r="BJ27" t="s">
        <v>4199</v>
      </c>
      <c r="BK27" t="s">
        <v>1000</v>
      </c>
      <c r="BL27" t="s">
        <v>1184</v>
      </c>
    </row>
    <row r="28" spans="7:64" x14ac:dyDescent="0.25">
      <c r="G28" t="s">
        <v>1403</v>
      </c>
      <c r="I28" t="s">
        <v>1158</v>
      </c>
      <c r="N28" t="s">
        <v>1451</v>
      </c>
      <c r="P28" t="s">
        <v>4110</v>
      </c>
      <c r="R28" t="s">
        <v>1452</v>
      </c>
      <c r="W28" t="s">
        <v>1181</v>
      </c>
      <c r="X28" t="s">
        <v>1453</v>
      </c>
      <c r="Y28" t="s">
        <v>1163</v>
      </c>
      <c r="Z28" t="s">
        <v>1519</v>
      </c>
      <c r="AB28" t="s">
        <v>1192</v>
      </c>
      <c r="AC28" t="s">
        <v>1454</v>
      </c>
      <c r="AE28" t="s">
        <v>1455</v>
      </c>
      <c r="AF28" t="s">
        <v>1171</v>
      </c>
      <c r="AG28" t="s">
        <v>1181</v>
      </c>
      <c r="AH28" t="s">
        <v>1338</v>
      </c>
      <c r="AI28" t="s">
        <v>1456</v>
      </c>
      <c r="AJ28" t="s">
        <v>1195</v>
      </c>
      <c r="AK28" t="s">
        <v>1163</v>
      </c>
      <c r="AL28" t="s">
        <v>1423</v>
      </c>
      <c r="AM28" t="s">
        <v>1181</v>
      </c>
      <c r="AN28" t="s">
        <v>1149</v>
      </c>
      <c r="AO28" t="s">
        <v>1153</v>
      </c>
      <c r="AP28" t="s">
        <v>1144</v>
      </c>
      <c r="AQ28" t="s">
        <v>1434</v>
      </c>
      <c r="AR28" t="s">
        <v>1192</v>
      </c>
      <c r="AS28" t="s">
        <v>1149</v>
      </c>
      <c r="AU28" t="s">
        <v>1144</v>
      </c>
      <c r="AV28" t="s">
        <v>1205</v>
      </c>
      <c r="AW28" t="s">
        <v>1457</v>
      </c>
      <c r="AX28" t="s">
        <v>1153</v>
      </c>
      <c r="AZ28" t="s">
        <v>1153</v>
      </c>
      <c r="BA28" t="s">
        <v>1458</v>
      </c>
      <c r="BB28" t="s">
        <v>1459</v>
      </c>
      <c r="BC28" t="s">
        <v>1153</v>
      </c>
      <c r="BD28" t="s">
        <v>1153</v>
      </c>
      <c r="BF28" t="s">
        <v>1460</v>
      </c>
      <c r="BG28" t="s">
        <v>1184</v>
      </c>
      <c r="BJ28" t="s">
        <v>1210</v>
      </c>
      <c r="BK28" t="s">
        <v>1324</v>
      </c>
      <c r="BL28" t="s">
        <v>1205</v>
      </c>
    </row>
    <row r="29" spans="7:64" x14ac:dyDescent="0.25">
      <c r="G29" t="s">
        <v>1145</v>
      </c>
      <c r="I29" t="s">
        <v>1270</v>
      </c>
      <c r="N29" t="s">
        <v>1304</v>
      </c>
      <c r="P29" t="s">
        <v>1145</v>
      </c>
      <c r="R29" t="s">
        <v>1461</v>
      </c>
      <c r="W29" t="s">
        <v>1145</v>
      </c>
      <c r="X29" t="s">
        <v>1411</v>
      </c>
      <c r="Y29" t="s">
        <v>1161</v>
      </c>
      <c r="Z29" t="s">
        <v>1522</v>
      </c>
      <c r="AB29" t="s">
        <v>1144</v>
      </c>
      <c r="AC29" t="s">
        <v>1462</v>
      </c>
      <c r="AE29" t="s">
        <v>1171</v>
      </c>
      <c r="AF29" t="s">
        <v>1463</v>
      </c>
      <c r="AG29" t="s">
        <v>1200</v>
      </c>
      <c r="AH29" t="s">
        <v>1195</v>
      </c>
      <c r="AI29" s="71" t="s">
        <v>1271</v>
      </c>
      <c r="AJ29" t="s">
        <v>1204</v>
      </c>
      <c r="AK29" t="s">
        <v>1312</v>
      </c>
      <c r="AL29" t="s">
        <v>1149</v>
      </c>
      <c r="AM29" t="s">
        <v>1414</v>
      </c>
      <c r="AN29" t="s">
        <v>1144</v>
      </c>
      <c r="AP29" t="s">
        <v>1288</v>
      </c>
      <c r="AQ29" t="s">
        <v>1327</v>
      </c>
      <c r="AR29" t="s">
        <v>1241</v>
      </c>
      <c r="AS29" t="s">
        <v>1457</v>
      </c>
      <c r="AU29" t="s">
        <v>1318</v>
      </c>
      <c r="AV29" t="s">
        <v>1230</v>
      </c>
      <c r="AW29" t="s">
        <v>1153</v>
      </c>
      <c r="AX29" t="s">
        <v>1153</v>
      </c>
      <c r="AZ29" t="s">
        <v>1153</v>
      </c>
      <c r="BA29" t="s">
        <v>1149</v>
      </c>
      <c r="BB29" t="s">
        <v>1464</v>
      </c>
      <c r="BC29" t="s">
        <v>1153</v>
      </c>
      <c r="BD29" t="s">
        <v>1153</v>
      </c>
      <c r="BF29" t="s">
        <v>1465</v>
      </c>
      <c r="BG29" t="s">
        <v>1205</v>
      </c>
      <c r="BJ29" t="s">
        <v>1316</v>
      </c>
      <c r="BK29" t="s">
        <v>1163</v>
      </c>
      <c r="BL29" t="s">
        <v>1230</v>
      </c>
    </row>
    <row r="30" spans="7:64" x14ac:dyDescent="0.25">
      <c r="I30" t="s">
        <v>1270</v>
      </c>
      <c r="N30" t="s">
        <v>1188</v>
      </c>
      <c r="P30" t="s">
        <v>1176</v>
      </c>
      <c r="R30" t="s">
        <v>1339</v>
      </c>
      <c r="W30" t="s">
        <v>1466</v>
      </c>
      <c r="X30" t="s">
        <v>1316</v>
      </c>
      <c r="Y30" t="s">
        <v>1207</v>
      </c>
      <c r="Z30" t="s">
        <v>1145</v>
      </c>
      <c r="AB30" t="s">
        <v>1181</v>
      </c>
      <c r="AC30" t="s">
        <v>1249</v>
      </c>
      <c r="AE30" t="s">
        <v>1218</v>
      </c>
      <c r="AF30" t="s">
        <v>1304</v>
      </c>
      <c r="AG30" t="s">
        <v>1200</v>
      </c>
      <c r="AH30" t="s">
        <v>1163</v>
      </c>
      <c r="AI30" s="71" t="s">
        <v>1271</v>
      </c>
      <c r="AJ30" t="s">
        <v>1163</v>
      </c>
      <c r="AK30" t="s">
        <v>1467</v>
      </c>
      <c r="AL30" t="s">
        <v>1163</v>
      </c>
      <c r="AM30" t="s">
        <v>1163</v>
      </c>
      <c r="AN30" t="s">
        <v>1288</v>
      </c>
      <c r="AP30" t="s">
        <v>1184</v>
      </c>
      <c r="AQ30" t="s">
        <v>1468</v>
      </c>
      <c r="AR30" t="s">
        <v>1153</v>
      </c>
      <c r="AS30" t="s">
        <v>1469</v>
      </c>
      <c r="AU30" t="s">
        <v>1145</v>
      </c>
      <c r="AV30" t="s">
        <v>1288</v>
      </c>
      <c r="AW30" t="s">
        <v>1181</v>
      </c>
      <c r="AX30" t="s">
        <v>1154</v>
      </c>
      <c r="AZ30" t="s">
        <v>1153</v>
      </c>
      <c r="BA30" t="s">
        <v>1144</v>
      </c>
      <c r="BB30" t="s">
        <v>1470</v>
      </c>
      <c r="BC30" t="s">
        <v>1153</v>
      </c>
      <c r="BD30" t="s">
        <v>1153</v>
      </c>
      <c r="BF30" t="s">
        <v>1427</v>
      </c>
      <c r="BG30" t="s">
        <v>1230</v>
      </c>
      <c r="BJ30" t="s">
        <v>1163</v>
      </c>
      <c r="BK30" t="s">
        <v>1258</v>
      </c>
      <c r="BL30" t="s">
        <v>1251</v>
      </c>
    </row>
    <row r="31" spans="7:64" x14ac:dyDescent="0.25">
      <c r="I31" t="s">
        <v>1471</v>
      </c>
      <c r="N31" t="s">
        <v>1144</v>
      </c>
      <c r="P31" t="s">
        <v>1151</v>
      </c>
      <c r="R31" t="s">
        <v>1158</v>
      </c>
      <c r="W31" t="s">
        <v>1176</v>
      </c>
      <c r="X31" t="s">
        <v>1151</v>
      </c>
      <c r="Y31" t="s">
        <v>1472</v>
      </c>
      <c r="Z31" t="s">
        <v>1493</v>
      </c>
      <c r="AB31" t="s">
        <v>1473</v>
      </c>
      <c r="AC31" t="s">
        <v>1208</v>
      </c>
      <c r="AE31" t="s">
        <v>1176</v>
      </c>
      <c r="AF31" t="s">
        <v>1154</v>
      </c>
      <c r="AG31" t="s">
        <v>1158</v>
      </c>
      <c r="AH31" t="s">
        <v>1474</v>
      </c>
      <c r="AI31" t="s">
        <v>1271</v>
      </c>
      <c r="AJ31" t="s">
        <v>1475</v>
      </c>
      <c r="AK31" t="s">
        <v>1149</v>
      </c>
      <c r="AL31" t="s">
        <v>1323</v>
      </c>
      <c r="AM31" t="s">
        <v>1154</v>
      </c>
      <c r="AN31" t="s">
        <v>1184</v>
      </c>
      <c r="AP31" t="s">
        <v>1205</v>
      </c>
      <c r="AQ31" t="s">
        <v>1476</v>
      </c>
      <c r="AR31" t="s">
        <v>1153</v>
      </c>
      <c r="AS31" t="s">
        <v>1145</v>
      </c>
      <c r="AU31" t="s">
        <v>1347</v>
      </c>
      <c r="AW31" t="s">
        <v>1200</v>
      </c>
      <c r="AX31" t="s">
        <v>1477</v>
      </c>
      <c r="AZ31" t="s">
        <v>1153</v>
      </c>
      <c r="BA31" t="s">
        <v>1288</v>
      </c>
      <c r="BB31" t="s">
        <v>1296</v>
      </c>
      <c r="BC31" t="s">
        <v>1153</v>
      </c>
      <c r="BD31" t="s">
        <v>1478</v>
      </c>
      <c r="BF31" t="s">
        <v>1378</v>
      </c>
      <c r="BG31" t="s">
        <v>1251</v>
      </c>
      <c r="BJ31" t="s">
        <v>1163</v>
      </c>
      <c r="BK31" t="s">
        <v>1241</v>
      </c>
      <c r="BL31" t="s">
        <v>1192</v>
      </c>
    </row>
    <row r="32" spans="7:64" x14ac:dyDescent="0.25">
      <c r="I32" t="s">
        <v>1145</v>
      </c>
      <c r="N32" t="s">
        <v>1433</v>
      </c>
      <c r="P32" t="s">
        <v>1171</v>
      </c>
      <c r="R32" t="s">
        <v>1479</v>
      </c>
      <c r="W32" t="s">
        <v>1185</v>
      </c>
      <c r="X32" t="s">
        <v>1315</v>
      </c>
      <c r="Y32" t="s">
        <v>1200</v>
      </c>
      <c r="Z32" t="s">
        <v>1392</v>
      </c>
      <c r="AB32" t="s">
        <v>1365</v>
      </c>
      <c r="AC32" t="s">
        <v>1204</v>
      </c>
      <c r="AF32" t="s">
        <v>1181</v>
      </c>
      <c r="AG32" t="s">
        <v>1158</v>
      </c>
      <c r="AH32" t="s">
        <v>1392</v>
      </c>
      <c r="AI32" t="s">
        <v>1414</v>
      </c>
      <c r="AJ32" t="s">
        <v>1320</v>
      </c>
      <c r="AK32" t="s">
        <v>1144</v>
      </c>
      <c r="AL32" t="s">
        <v>1416</v>
      </c>
      <c r="AM32" t="s">
        <v>1200</v>
      </c>
      <c r="AN32" t="s">
        <v>1205</v>
      </c>
      <c r="AP32" t="s">
        <v>1230</v>
      </c>
      <c r="AQ32" t="s">
        <v>1163</v>
      </c>
      <c r="AR32" t="s">
        <v>1153</v>
      </c>
      <c r="AS32" t="s">
        <v>1480</v>
      </c>
      <c r="AU32" t="s">
        <v>1153</v>
      </c>
      <c r="AW32" t="s">
        <v>1481</v>
      </c>
      <c r="AX32" t="s">
        <v>1416</v>
      </c>
      <c r="AZ32" t="s">
        <v>1188</v>
      </c>
      <c r="BA32" t="s">
        <v>1184</v>
      </c>
      <c r="BB32" t="s">
        <v>1253</v>
      </c>
      <c r="BC32" t="s">
        <v>1153</v>
      </c>
      <c r="BD32" t="s">
        <v>1482</v>
      </c>
      <c r="BF32" t="s">
        <v>1378</v>
      </c>
      <c r="BG32" t="s">
        <v>1192</v>
      </c>
      <c r="BJ32" t="s">
        <v>1574</v>
      </c>
      <c r="BK32" t="s">
        <v>1144</v>
      </c>
      <c r="BL32" t="s">
        <v>1241</v>
      </c>
    </row>
    <row r="33" spans="9:64" x14ac:dyDescent="0.25">
      <c r="I33" t="s">
        <v>1315</v>
      </c>
      <c r="N33" t="s">
        <v>1433</v>
      </c>
      <c r="P33" t="s">
        <v>1304</v>
      </c>
      <c r="R33" t="s">
        <v>1180</v>
      </c>
      <c r="W33" t="s">
        <v>1204</v>
      </c>
      <c r="X33" t="s">
        <v>1346</v>
      </c>
      <c r="Y33" t="s">
        <v>1144</v>
      </c>
      <c r="Z33" t="s">
        <v>1510</v>
      </c>
      <c r="AB33" t="s">
        <v>1281</v>
      </c>
      <c r="AC33" t="s">
        <v>1483</v>
      </c>
      <c r="AF33" t="s">
        <v>1351</v>
      </c>
      <c r="AG33" t="s">
        <v>1484</v>
      </c>
      <c r="AH33" t="s">
        <v>1258</v>
      </c>
      <c r="AI33" t="s">
        <v>1268</v>
      </c>
      <c r="AJ33" t="s">
        <v>1223</v>
      </c>
      <c r="AK33" t="s">
        <v>1288</v>
      </c>
      <c r="AL33" t="s">
        <v>1368</v>
      </c>
      <c r="AM33" t="s">
        <v>1200</v>
      </c>
      <c r="AN33" t="s">
        <v>1230</v>
      </c>
      <c r="AP33" t="s">
        <v>1251</v>
      </c>
      <c r="AQ33" t="s">
        <v>1163</v>
      </c>
      <c r="AR33" t="s">
        <v>1153</v>
      </c>
      <c r="AS33" t="s">
        <v>1485</v>
      </c>
      <c r="AU33" t="s">
        <v>1486</v>
      </c>
      <c r="AW33" t="s">
        <v>1163</v>
      </c>
      <c r="AX33" t="s">
        <v>1487</v>
      </c>
      <c r="AZ33" t="s">
        <v>1158</v>
      </c>
      <c r="BA33" t="s">
        <v>1205</v>
      </c>
      <c r="BB33" t="s">
        <v>1416</v>
      </c>
      <c r="BC33" t="s">
        <v>4170</v>
      </c>
      <c r="BD33" t="s">
        <v>1378</v>
      </c>
      <c r="BF33" t="s">
        <v>1378</v>
      </c>
      <c r="BG33" t="s">
        <v>1241</v>
      </c>
      <c r="BK33" t="s">
        <v>1288</v>
      </c>
      <c r="BL33" t="s">
        <v>1153</v>
      </c>
    </row>
    <row r="34" spans="9:64" x14ac:dyDescent="0.25">
      <c r="I34" t="s">
        <v>1488</v>
      </c>
      <c r="N34" t="s">
        <v>1173</v>
      </c>
      <c r="P34" t="s">
        <v>1158</v>
      </c>
      <c r="R34" t="s">
        <v>1489</v>
      </c>
      <c r="W34" t="s">
        <v>1156</v>
      </c>
      <c r="X34" t="s">
        <v>1335</v>
      </c>
      <c r="Y34" t="s">
        <v>1163</v>
      </c>
      <c r="Z34" t="s">
        <v>1188</v>
      </c>
      <c r="AB34" t="s">
        <v>1200</v>
      </c>
      <c r="AC34" t="s">
        <v>1154</v>
      </c>
      <c r="AF34" t="s">
        <v>1145</v>
      </c>
      <c r="AG34" t="s">
        <v>1490</v>
      </c>
      <c r="AH34" t="s">
        <v>1312</v>
      </c>
      <c r="AI34" t="s">
        <v>1491</v>
      </c>
      <c r="AJ34" t="s">
        <v>1305</v>
      </c>
      <c r="AK34" t="s">
        <v>1184</v>
      </c>
      <c r="AL34" t="s">
        <v>1184</v>
      </c>
      <c r="AM34" t="s">
        <v>1181</v>
      </c>
      <c r="AN34" t="s">
        <v>1251</v>
      </c>
      <c r="AP34" t="s">
        <v>1192</v>
      </c>
      <c r="AQ34" t="s">
        <v>1163</v>
      </c>
      <c r="AR34" t="s">
        <v>1153</v>
      </c>
      <c r="AS34" t="s">
        <v>1492</v>
      </c>
      <c r="AU34" t="s">
        <v>1196</v>
      </c>
      <c r="AW34" t="s">
        <v>1445</v>
      </c>
      <c r="AX34" t="s">
        <v>1493</v>
      </c>
      <c r="AZ34" t="s">
        <v>1494</v>
      </c>
      <c r="BA34" t="s">
        <v>1230</v>
      </c>
      <c r="BB34" t="s">
        <v>1495</v>
      </c>
      <c r="BC34" t="s">
        <v>4171</v>
      </c>
      <c r="BD34" t="s">
        <v>680</v>
      </c>
      <c r="BF34" t="s">
        <v>1188</v>
      </c>
      <c r="BG34" t="s">
        <v>1153</v>
      </c>
      <c r="BK34" t="s">
        <v>1184</v>
      </c>
      <c r="BL34" t="s">
        <v>1153</v>
      </c>
    </row>
    <row r="35" spans="9:64" x14ac:dyDescent="0.25">
      <c r="I35" t="s">
        <v>1496</v>
      </c>
      <c r="N35" t="s">
        <v>1497</v>
      </c>
      <c r="P35" t="s">
        <v>1181</v>
      </c>
      <c r="R35" t="s">
        <v>1498</v>
      </c>
      <c r="W35" t="s">
        <v>1304</v>
      </c>
      <c r="Y35" t="s">
        <v>1163</v>
      </c>
      <c r="Z35" t="s">
        <v>1304</v>
      </c>
      <c r="AB35" t="s">
        <v>1208</v>
      </c>
      <c r="AC35" t="s">
        <v>1145</v>
      </c>
      <c r="AF35" t="s">
        <v>1163</v>
      </c>
      <c r="AG35" t="s">
        <v>1499</v>
      </c>
      <c r="AH35" t="s">
        <v>1163</v>
      </c>
      <c r="AI35" t="s">
        <v>1500</v>
      </c>
      <c r="AJ35" t="s">
        <v>1501</v>
      </c>
      <c r="AK35" t="s">
        <v>1205</v>
      </c>
      <c r="AL35" t="s">
        <v>1241</v>
      </c>
      <c r="AM35" t="s">
        <v>1200</v>
      </c>
      <c r="AN35" t="s">
        <v>1192</v>
      </c>
      <c r="AP35" t="s">
        <v>1241</v>
      </c>
      <c r="AQ35" t="s">
        <v>1201</v>
      </c>
      <c r="AR35" t="s">
        <v>1274</v>
      </c>
      <c r="AS35" t="s">
        <v>1502</v>
      </c>
      <c r="AU35" t="s">
        <v>1144</v>
      </c>
      <c r="AW35" t="s">
        <v>1238</v>
      </c>
      <c r="AX35" t="s">
        <v>1392</v>
      </c>
      <c r="AZ35" t="s">
        <v>1163</v>
      </c>
      <c r="BA35" t="s">
        <v>1251</v>
      </c>
      <c r="BB35" t="s">
        <v>1503</v>
      </c>
      <c r="BC35" t="s">
        <v>4172</v>
      </c>
      <c r="BD35" t="s">
        <v>1504</v>
      </c>
      <c r="BF35" t="s">
        <v>1299</v>
      </c>
      <c r="BG35" t="s">
        <v>1153</v>
      </c>
      <c r="BK35" t="s">
        <v>1205</v>
      </c>
      <c r="BL35" t="s">
        <v>1153</v>
      </c>
    </row>
    <row r="36" spans="9:64" x14ac:dyDescent="0.25">
      <c r="N36" t="s">
        <v>1505</v>
      </c>
      <c r="P36" t="s">
        <v>1200</v>
      </c>
      <c r="R36" t="s">
        <v>1485</v>
      </c>
      <c r="W36" t="s">
        <v>1219</v>
      </c>
      <c r="Y36" t="s">
        <v>1180</v>
      </c>
      <c r="Z36" t="s">
        <v>1283</v>
      </c>
      <c r="AB36" t="s">
        <v>1149</v>
      </c>
      <c r="AC36" t="s">
        <v>1209</v>
      </c>
      <c r="AG36" t="s">
        <v>1506</v>
      </c>
      <c r="AH36" t="s">
        <v>1195</v>
      </c>
      <c r="AI36" t="s">
        <v>1154</v>
      </c>
      <c r="AJ36" t="s">
        <v>1507</v>
      </c>
      <c r="AK36" t="s">
        <v>1230</v>
      </c>
      <c r="AL36" t="s">
        <v>1192</v>
      </c>
      <c r="AM36" t="s">
        <v>1377</v>
      </c>
      <c r="AN36" t="s">
        <v>1241</v>
      </c>
      <c r="AP36" t="s">
        <v>1153</v>
      </c>
      <c r="AQ36" t="s">
        <v>1226</v>
      </c>
      <c r="AR36" t="s">
        <v>1508</v>
      </c>
      <c r="AS36" t="s">
        <v>1509</v>
      </c>
      <c r="AU36" t="s">
        <v>1392</v>
      </c>
      <c r="AW36" s="71" t="s">
        <v>1163</v>
      </c>
      <c r="AX36" t="s">
        <v>1510</v>
      </c>
      <c r="AZ36" t="s">
        <v>1163</v>
      </c>
      <c r="BA36" t="s">
        <v>1192</v>
      </c>
      <c r="BB36" t="s">
        <v>1241</v>
      </c>
      <c r="BD36" t="s">
        <v>1260</v>
      </c>
      <c r="BF36" t="s">
        <v>1511</v>
      </c>
      <c r="BG36" t="s">
        <v>1153</v>
      </c>
      <c r="BK36" t="s">
        <v>1230</v>
      </c>
      <c r="BL36" t="s">
        <v>1153</v>
      </c>
    </row>
    <row r="37" spans="9:64" x14ac:dyDescent="0.25">
      <c r="N37" t="s">
        <v>1144</v>
      </c>
      <c r="P37" t="s">
        <v>1333</v>
      </c>
      <c r="R37" t="s">
        <v>1471</v>
      </c>
      <c r="W37" t="s">
        <v>1512</v>
      </c>
      <c r="Y37" t="s">
        <v>1347</v>
      </c>
      <c r="Z37" t="s">
        <v>1433</v>
      </c>
      <c r="AB37" t="s">
        <v>1151</v>
      </c>
      <c r="AC37" t="s">
        <v>1233</v>
      </c>
      <c r="AG37" t="s">
        <v>1151</v>
      </c>
      <c r="AH37" t="s">
        <v>1513</v>
      </c>
      <c r="AI37" t="s">
        <v>1409</v>
      </c>
      <c r="AJ37" t="s">
        <v>1514</v>
      </c>
      <c r="AK37" t="s">
        <v>1251</v>
      </c>
      <c r="AL37" t="s">
        <v>1251</v>
      </c>
      <c r="AM37" t="s">
        <v>1189</v>
      </c>
      <c r="AN37" t="s">
        <v>1153</v>
      </c>
      <c r="AP37" t="s">
        <v>1153</v>
      </c>
      <c r="AQ37" t="s">
        <v>1188</v>
      </c>
      <c r="AR37" t="s">
        <v>1515</v>
      </c>
      <c r="AS37" t="s">
        <v>1145</v>
      </c>
      <c r="AU37" t="s">
        <v>1516</v>
      </c>
      <c r="AW37" t="s">
        <v>1181</v>
      </c>
      <c r="AX37" t="s">
        <v>1422</v>
      </c>
      <c r="AZ37" t="s">
        <v>1467</v>
      </c>
      <c r="BA37" t="s">
        <v>1241</v>
      </c>
      <c r="BB37" t="s">
        <v>1192</v>
      </c>
      <c r="BD37" t="s">
        <v>1517</v>
      </c>
      <c r="BG37" t="s">
        <v>1153</v>
      </c>
      <c r="BK37" t="s">
        <v>1192</v>
      </c>
      <c r="BL37" t="s">
        <v>1153</v>
      </c>
    </row>
    <row r="38" spans="9:64" x14ac:dyDescent="0.25">
      <c r="N38" t="s">
        <v>1145</v>
      </c>
      <c r="P38" t="s">
        <v>4111</v>
      </c>
      <c r="R38" t="s">
        <v>1145</v>
      </c>
      <c r="W38" t="s">
        <v>1518</v>
      </c>
      <c r="Y38" s="71" t="s">
        <v>1158</v>
      </c>
      <c r="Z38" t="s">
        <v>1144</v>
      </c>
      <c r="AB38" t="s">
        <v>1312</v>
      </c>
      <c r="AC38" t="s">
        <v>1392</v>
      </c>
      <c r="AG38" t="s">
        <v>1417</v>
      </c>
      <c r="AH38" t="s">
        <v>1392</v>
      </c>
      <c r="AI38" t="s">
        <v>1416</v>
      </c>
      <c r="AJ38" t="s">
        <v>1158</v>
      </c>
      <c r="AK38" t="s">
        <v>1192</v>
      </c>
      <c r="AL38" t="s">
        <v>1144</v>
      </c>
      <c r="AM38" t="s">
        <v>1226</v>
      </c>
      <c r="AN38" t="s">
        <v>1153</v>
      </c>
      <c r="AP38" t="s">
        <v>1153</v>
      </c>
      <c r="AQ38" t="s">
        <v>1151</v>
      </c>
      <c r="AR38" t="s">
        <v>1195</v>
      </c>
      <c r="AS38" t="s">
        <v>1177</v>
      </c>
      <c r="AU38" t="s">
        <v>1304</v>
      </c>
      <c r="AW38" t="s">
        <v>1180</v>
      </c>
      <c r="AX38" t="s">
        <v>1519</v>
      </c>
      <c r="AZ38" t="s">
        <v>1312</v>
      </c>
      <c r="BA38" t="s">
        <v>1153</v>
      </c>
      <c r="BB38" t="s">
        <v>1251</v>
      </c>
      <c r="BC38" t="s">
        <v>4048</v>
      </c>
      <c r="BD38" t="s">
        <v>1520</v>
      </c>
      <c r="BG38" t="s">
        <v>1153</v>
      </c>
      <c r="BK38" t="s">
        <v>1153</v>
      </c>
      <c r="BL38" t="s">
        <v>1163</v>
      </c>
    </row>
    <row r="39" spans="9:64" x14ac:dyDescent="0.25">
      <c r="N39" t="s">
        <v>1224</v>
      </c>
      <c r="P39" t="s">
        <v>1383</v>
      </c>
      <c r="W39" t="s">
        <v>1230</v>
      </c>
      <c r="Y39" t="s">
        <v>1281</v>
      </c>
      <c r="Z39" t="s">
        <v>1188</v>
      </c>
      <c r="AB39" t="s">
        <v>1521</v>
      </c>
      <c r="AC39" t="s">
        <v>1351</v>
      </c>
      <c r="AG39" t="s">
        <v>1151</v>
      </c>
      <c r="AH39" t="s">
        <v>1288</v>
      </c>
      <c r="AI39" t="s">
        <v>1425</v>
      </c>
      <c r="AJ39" t="s">
        <v>1480</v>
      </c>
      <c r="AK39" t="s">
        <v>1241</v>
      </c>
      <c r="AL39" t="s">
        <v>1205</v>
      </c>
      <c r="AM39" t="s">
        <v>1260</v>
      </c>
      <c r="AN39" t="s">
        <v>1153</v>
      </c>
      <c r="AP39" t="s">
        <v>1153</v>
      </c>
      <c r="AQ39" t="s">
        <v>1171</v>
      </c>
      <c r="AR39" t="s">
        <v>1149</v>
      </c>
      <c r="AU39" t="s">
        <v>1200</v>
      </c>
      <c r="AW39" t="s">
        <v>1205</v>
      </c>
      <c r="AX39" t="s">
        <v>1522</v>
      </c>
      <c r="AZ39" t="s">
        <v>1195</v>
      </c>
      <c r="BA39" t="s">
        <v>1153</v>
      </c>
      <c r="BB39" t="s">
        <v>1288</v>
      </c>
      <c r="BC39" t="s">
        <v>1165</v>
      </c>
      <c r="BD39" t="s">
        <v>1237</v>
      </c>
      <c r="BG39" s="71" t="s">
        <v>1158</v>
      </c>
      <c r="BK39" t="s">
        <v>1153</v>
      </c>
      <c r="BL39" t="s">
        <v>1354</v>
      </c>
    </row>
    <row r="40" spans="9:64" x14ac:dyDescent="0.25">
      <c r="N40" t="s">
        <v>1144</v>
      </c>
      <c r="P40" t="s">
        <v>4112</v>
      </c>
      <c r="W40" t="s">
        <v>1493</v>
      </c>
      <c r="Y40" t="s">
        <v>1258</v>
      </c>
      <c r="Z40" t="s">
        <v>1181</v>
      </c>
      <c r="AB40" t="s">
        <v>1171</v>
      </c>
      <c r="AC40" t="s">
        <v>1145</v>
      </c>
      <c r="AG40" t="s">
        <v>1315</v>
      </c>
      <c r="AH40" t="s">
        <v>1433</v>
      </c>
      <c r="AI40" t="s">
        <v>1144</v>
      </c>
      <c r="AJ40" t="s">
        <v>1523</v>
      </c>
      <c r="AK40" t="s">
        <v>1392</v>
      </c>
      <c r="AL40" t="s">
        <v>1230</v>
      </c>
      <c r="AM40" t="s">
        <v>1431</v>
      </c>
      <c r="AN40" t="s">
        <v>1153</v>
      </c>
      <c r="AP40" t="s">
        <v>1153</v>
      </c>
      <c r="AQ40" t="s">
        <v>1200</v>
      </c>
      <c r="AR40" t="s">
        <v>1158</v>
      </c>
      <c r="AU40" t="s">
        <v>1453</v>
      </c>
      <c r="AW40" t="s">
        <v>1230</v>
      </c>
      <c r="AX40" t="s">
        <v>1188</v>
      </c>
      <c r="AZ40" t="s">
        <v>1524</v>
      </c>
      <c r="BA40" t="s">
        <v>1153</v>
      </c>
      <c r="BB40" t="s">
        <v>1184</v>
      </c>
      <c r="BC40" t="s">
        <v>1158</v>
      </c>
      <c r="BD40" t="s">
        <v>1525</v>
      </c>
      <c r="BG40" t="s">
        <v>1158</v>
      </c>
      <c r="BK40" t="s">
        <v>1153</v>
      </c>
      <c r="BL40" t="s">
        <v>1192</v>
      </c>
    </row>
    <row r="41" spans="9:64" x14ac:dyDescent="0.25">
      <c r="N41" t="s">
        <v>1145</v>
      </c>
      <c r="P41" t="s">
        <v>4113</v>
      </c>
      <c r="W41" t="s">
        <v>1526</v>
      </c>
      <c r="Y41" t="s">
        <v>1288</v>
      </c>
      <c r="Z41" t="s">
        <v>1555</v>
      </c>
      <c r="AB41" t="s">
        <v>1196</v>
      </c>
      <c r="AC41" t="s">
        <v>1145</v>
      </c>
      <c r="AG41" t="s">
        <v>1346</v>
      </c>
      <c r="AH41" t="s">
        <v>1144</v>
      </c>
      <c r="AI41" t="s">
        <v>1158</v>
      </c>
      <c r="AJ41" t="s">
        <v>1527</v>
      </c>
      <c r="AK41" t="s">
        <v>1153</v>
      </c>
      <c r="AL41" t="s">
        <v>1288</v>
      </c>
      <c r="AM41" t="s">
        <v>1173</v>
      </c>
      <c r="AN41" t="s">
        <v>1153</v>
      </c>
      <c r="AP41" t="s">
        <v>1419</v>
      </c>
      <c r="AQ41" t="s">
        <v>1253</v>
      </c>
      <c r="AR41" t="s">
        <v>1258</v>
      </c>
      <c r="AU41" t="s">
        <v>1181</v>
      </c>
      <c r="AW41" s="71" t="s">
        <v>1163</v>
      </c>
      <c r="AX41" t="s">
        <v>1304</v>
      </c>
      <c r="AZ41" t="s">
        <v>1528</v>
      </c>
      <c r="BA41" t="s">
        <v>1153</v>
      </c>
      <c r="BB41" t="s">
        <v>1368</v>
      </c>
      <c r="BC41" t="s">
        <v>1175</v>
      </c>
      <c r="BD41" t="s">
        <v>1529</v>
      </c>
      <c r="BG41" t="s">
        <v>1158</v>
      </c>
      <c r="BK41" t="s">
        <v>1153</v>
      </c>
      <c r="BL41" t="s">
        <v>1175</v>
      </c>
    </row>
    <row r="42" spans="9:64" x14ac:dyDescent="0.25">
      <c r="N42" t="s">
        <v>1361</v>
      </c>
      <c r="P42" t="s">
        <v>1192</v>
      </c>
      <c r="W42" t="s">
        <v>1151</v>
      </c>
      <c r="Y42" t="s">
        <v>1165</v>
      </c>
      <c r="Z42" t="s">
        <v>1413</v>
      </c>
      <c r="AB42" t="s">
        <v>1325</v>
      </c>
      <c r="AC42" t="s">
        <v>1177</v>
      </c>
      <c r="AG42" t="s">
        <v>1335</v>
      </c>
      <c r="AH42" t="s">
        <v>1188</v>
      </c>
      <c r="AI42" t="s">
        <v>1530</v>
      </c>
      <c r="AJ42" t="s">
        <v>1181</v>
      </c>
      <c r="AK42" t="s">
        <v>1153</v>
      </c>
      <c r="AL42" t="s">
        <v>1158</v>
      </c>
      <c r="AM42" t="s">
        <v>1304</v>
      </c>
      <c r="AN42" t="s">
        <v>4092</v>
      </c>
      <c r="AP42" t="s">
        <v>1149</v>
      </c>
      <c r="AQ42" t="s">
        <v>1149</v>
      </c>
      <c r="AR42" t="s">
        <v>1569</v>
      </c>
      <c r="AU42" t="s">
        <v>1531</v>
      </c>
      <c r="AW42" t="s">
        <v>1153</v>
      </c>
      <c r="AX42" t="s">
        <v>1283</v>
      </c>
      <c r="AZ42" t="s">
        <v>1200</v>
      </c>
      <c r="BA42" t="s">
        <v>1153</v>
      </c>
      <c r="BB42" t="s">
        <v>1153</v>
      </c>
      <c r="BC42" t="s">
        <v>1196</v>
      </c>
      <c r="BD42" t="s">
        <v>1341</v>
      </c>
      <c r="BG42" t="s">
        <v>1158</v>
      </c>
      <c r="BK42" t="s">
        <v>1153</v>
      </c>
      <c r="BL42" t="s">
        <v>1196</v>
      </c>
    </row>
    <row r="43" spans="9:64" x14ac:dyDescent="0.25">
      <c r="N43" t="s">
        <v>1315</v>
      </c>
      <c r="P43" t="s">
        <v>1258</v>
      </c>
      <c r="W43" t="s">
        <v>1188</v>
      </c>
      <c r="Y43" t="s">
        <v>1158</v>
      </c>
      <c r="Z43" t="s">
        <v>1639</v>
      </c>
      <c r="AB43" t="s">
        <v>1532</v>
      </c>
      <c r="AC43" t="s">
        <v>1151</v>
      </c>
      <c r="AG43" s="71" t="s">
        <v>1271</v>
      </c>
      <c r="AH43" t="s">
        <v>1337</v>
      </c>
      <c r="AI43" t="s">
        <v>1463</v>
      </c>
      <c r="AJ43" t="s">
        <v>1156</v>
      </c>
      <c r="AK43" t="s">
        <v>1153</v>
      </c>
      <c r="AL43" t="s">
        <v>1158</v>
      </c>
      <c r="AM43" t="s">
        <v>1532</v>
      </c>
      <c r="AN43" t="s">
        <v>1401</v>
      </c>
      <c r="AP43" t="s">
        <v>1149</v>
      </c>
      <c r="AQ43" t="s">
        <v>1144</v>
      </c>
      <c r="AR43" t="s">
        <v>1147</v>
      </c>
      <c r="AU43" t="s">
        <v>1403</v>
      </c>
      <c r="AW43" t="s">
        <v>1153</v>
      </c>
      <c r="AX43" t="s">
        <v>1163</v>
      </c>
      <c r="AZ43" t="s">
        <v>1533</v>
      </c>
      <c r="BB43" t="s">
        <v>1153</v>
      </c>
      <c r="BC43" t="s">
        <v>1441</v>
      </c>
      <c r="BD43" t="s">
        <v>1304</v>
      </c>
      <c r="BG43" t="s">
        <v>1153</v>
      </c>
      <c r="BL43" t="s">
        <v>1441</v>
      </c>
    </row>
    <row r="44" spans="9:64" x14ac:dyDescent="0.25">
      <c r="P44" t="s">
        <v>1314</v>
      </c>
      <c r="W44" t="s">
        <v>1180</v>
      </c>
      <c r="Y44" t="s">
        <v>1151</v>
      </c>
      <c r="Z44" t="s">
        <v>1171</v>
      </c>
      <c r="AB44" t="s">
        <v>1188</v>
      </c>
      <c r="AC44" t="s">
        <v>1346</v>
      </c>
      <c r="AG44" t="s">
        <v>1381</v>
      </c>
      <c r="AH44" t="s">
        <v>1316</v>
      </c>
      <c r="AI44" t="s">
        <v>1316</v>
      </c>
      <c r="AJ44" t="s">
        <v>1145</v>
      </c>
      <c r="AK44" t="s">
        <v>1153</v>
      </c>
      <c r="AL44" t="s">
        <v>1158</v>
      </c>
      <c r="AM44" t="s">
        <v>1171</v>
      </c>
      <c r="AN44" t="s">
        <v>4183</v>
      </c>
      <c r="AP44" t="s">
        <v>3995</v>
      </c>
      <c r="AQ44" t="s">
        <v>1288</v>
      </c>
      <c r="AR44" t="s">
        <v>1316</v>
      </c>
      <c r="AU44" t="s">
        <v>1151</v>
      </c>
      <c r="AW44" t="s">
        <v>1153</v>
      </c>
      <c r="AX44" t="s">
        <v>1163</v>
      </c>
      <c r="AZ44" t="s">
        <v>1534</v>
      </c>
      <c r="BB44" t="s">
        <v>1153</v>
      </c>
      <c r="BC44" t="s">
        <v>1163</v>
      </c>
      <c r="BD44" t="s">
        <v>1535</v>
      </c>
      <c r="BG44" t="s">
        <v>1238</v>
      </c>
    </row>
    <row r="45" spans="9:64" x14ac:dyDescent="0.25">
      <c r="P45" t="s">
        <v>1145</v>
      </c>
      <c r="W45" t="s">
        <v>1158</v>
      </c>
      <c r="Y45" t="s">
        <v>1536</v>
      </c>
      <c r="Z45" t="s">
        <v>1151</v>
      </c>
      <c r="AB45" t="s">
        <v>1537</v>
      </c>
      <c r="AC45" t="s">
        <v>1315</v>
      </c>
      <c r="AG45" t="s">
        <v>1171</v>
      </c>
      <c r="AH45" t="s">
        <v>1360</v>
      </c>
      <c r="AI45" t="s">
        <v>1538</v>
      </c>
      <c r="AJ45" t="s">
        <v>1471</v>
      </c>
      <c r="AK45" t="s">
        <v>1153</v>
      </c>
      <c r="AL45" t="s">
        <v>1158</v>
      </c>
      <c r="AM45" t="s">
        <v>1145</v>
      </c>
      <c r="AN45" t="s">
        <v>4199</v>
      </c>
      <c r="AP45" t="s">
        <v>1151</v>
      </c>
      <c r="AQ45" t="s">
        <v>1184</v>
      </c>
      <c r="AU45" t="s">
        <v>1181</v>
      </c>
      <c r="AW45" t="s">
        <v>1153</v>
      </c>
      <c r="AX45" t="s">
        <v>1158</v>
      </c>
      <c r="AZ45" t="s">
        <v>1269</v>
      </c>
      <c r="BB45" t="s">
        <v>1153</v>
      </c>
      <c r="BD45" t="s">
        <v>1539</v>
      </c>
      <c r="BG45" t="s">
        <v>1316</v>
      </c>
    </row>
    <row r="46" spans="9:64" x14ac:dyDescent="0.25">
      <c r="P46" t="s">
        <v>1233</v>
      </c>
      <c r="W46" t="s">
        <v>1145</v>
      </c>
      <c r="Y46" t="s">
        <v>1181</v>
      </c>
      <c r="Z46" t="s">
        <v>1505</v>
      </c>
      <c r="AB46" t="s">
        <v>1158</v>
      </c>
      <c r="AC46" t="s">
        <v>1335</v>
      </c>
      <c r="AG46" t="s">
        <v>1181</v>
      </c>
      <c r="AH46" t="s">
        <v>1316</v>
      </c>
      <c r="AI46" t="s">
        <v>1271</v>
      </c>
      <c r="AJ46" t="s">
        <v>1506</v>
      </c>
      <c r="AK46" t="s">
        <v>1540</v>
      </c>
      <c r="AL46" t="s">
        <v>1158</v>
      </c>
      <c r="AM46" t="s">
        <v>1350</v>
      </c>
      <c r="AN46" t="s">
        <v>1145</v>
      </c>
      <c r="AP46" t="s">
        <v>1158</v>
      </c>
      <c r="AQ46" t="s">
        <v>1205</v>
      </c>
      <c r="AU46" t="s">
        <v>1195</v>
      </c>
      <c r="AW46" t="s">
        <v>1153</v>
      </c>
      <c r="AX46" t="s">
        <v>1158</v>
      </c>
      <c r="AZ46" t="s">
        <v>1541</v>
      </c>
      <c r="BB46" t="s">
        <v>1153</v>
      </c>
      <c r="BD46" t="s">
        <v>1154</v>
      </c>
      <c r="BG46" t="s">
        <v>1258</v>
      </c>
    </row>
    <row r="47" spans="9:64" x14ac:dyDescent="0.25">
      <c r="P47" t="s">
        <v>1209</v>
      </c>
      <c r="W47" t="s">
        <v>1209</v>
      </c>
      <c r="Y47" t="s">
        <v>1200</v>
      </c>
      <c r="Z47" t="s">
        <v>1151</v>
      </c>
      <c r="AB47" t="s">
        <v>1200</v>
      </c>
      <c r="AG47" t="s">
        <v>1542</v>
      </c>
      <c r="AH47" t="s">
        <v>4027</v>
      </c>
      <c r="AI47" t="s">
        <v>1543</v>
      </c>
      <c r="AJ47" t="s">
        <v>1315</v>
      </c>
      <c r="AK47" t="s">
        <v>1544</v>
      </c>
      <c r="AL47" t="s">
        <v>1153</v>
      </c>
      <c r="AM47" t="s">
        <v>1262</v>
      </c>
      <c r="AN47" t="s">
        <v>1181</v>
      </c>
      <c r="AP47" t="s">
        <v>1147</v>
      </c>
      <c r="AQ47" t="s">
        <v>1230</v>
      </c>
      <c r="AU47" t="s">
        <v>1181</v>
      </c>
      <c r="AW47" s="71" t="s">
        <v>1158</v>
      </c>
      <c r="AX47" t="s">
        <v>1181</v>
      </c>
      <c r="AZ47" t="s">
        <v>1360</v>
      </c>
      <c r="BB47" t="s">
        <v>1163</v>
      </c>
      <c r="BD47" t="s">
        <v>1312</v>
      </c>
      <c r="BG47" t="s">
        <v>1493</v>
      </c>
    </row>
    <row r="48" spans="9:64" x14ac:dyDescent="0.25">
      <c r="P48" t="s">
        <v>1145</v>
      </c>
      <c r="W48" t="s">
        <v>1545</v>
      </c>
      <c r="Y48" t="s">
        <v>1312</v>
      </c>
      <c r="Z48" t="s">
        <v>1351</v>
      </c>
      <c r="AB48" t="s">
        <v>1304</v>
      </c>
      <c r="AG48" t="s">
        <v>1153</v>
      </c>
      <c r="AH48" t="s">
        <v>4028</v>
      </c>
      <c r="AI48" t="s">
        <v>1480</v>
      </c>
      <c r="AJ48" t="s">
        <v>1151</v>
      </c>
      <c r="AK48" t="s">
        <v>1546</v>
      </c>
      <c r="AL48" t="s">
        <v>1153</v>
      </c>
      <c r="AM48" t="s">
        <v>1145</v>
      </c>
      <c r="AN48" t="s">
        <v>1158</v>
      </c>
      <c r="AP48" t="s">
        <v>1258</v>
      </c>
      <c r="AQ48" t="s">
        <v>1251</v>
      </c>
      <c r="AU48" t="s">
        <v>1158</v>
      </c>
      <c r="AW48" t="s">
        <v>1181</v>
      </c>
      <c r="AX48" t="s">
        <v>1181</v>
      </c>
      <c r="AZ48" t="s">
        <v>1144</v>
      </c>
      <c r="BB48" t="s">
        <v>1216</v>
      </c>
      <c r="BD48" t="s">
        <v>1165</v>
      </c>
      <c r="BG48" t="s">
        <v>1547</v>
      </c>
    </row>
    <row r="49" spans="16:59" x14ac:dyDescent="0.25">
      <c r="P49" t="s">
        <v>1163</v>
      </c>
      <c r="W49" t="s">
        <v>1149</v>
      </c>
      <c r="Y49" t="s">
        <v>1204</v>
      </c>
      <c r="AB49" s="71" t="s">
        <v>1207</v>
      </c>
      <c r="AG49" t="s">
        <v>1548</v>
      </c>
      <c r="AH49" t="s">
        <v>1158</v>
      </c>
      <c r="AI49" t="s">
        <v>1523</v>
      </c>
      <c r="AJ49" t="s">
        <v>1335</v>
      </c>
      <c r="AK49" t="s">
        <v>1181</v>
      </c>
      <c r="AL49" t="s">
        <v>1153</v>
      </c>
      <c r="AM49" t="s">
        <v>1158</v>
      </c>
      <c r="AN49" t="s">
        <v>1437</v>
      </c>
      <c r="AP49" t="s">
        <v>1312</v>
      </c>
      <c r="AQ49" t="s">
        <v>1192</v>
      </c>
      <c r="AU49" t="s">
        <v>1379</v>
      </c>
      <c r="AW49" t="s">
        <v>1549</v>
      </c>
      <c r="AX49" t="s">
        <v>1163</v>
      </c>
      <c r="AZ49" t="s">
        <v>1316</v>
      </c>
      <c r="BB49" t="s">
        <v>1392</v>
      </c>
      <c r="BD49" t="s">
        <v>1157</v>
      </c>
      <c r="BG49" t="s">
        <v>1387</v>
      </c>
    </row>
    <row r="50" spans="16:59" x14ac:dyDescent="0.25">
      <c r="P50" t="s">
        <v>4147</v>
      </c>
      <c r="W50" t="s">
        <v>1550</v>
      </c>
      <c r="Y50" t="s">
        <v>1158</v>
      </c>
      <c r="AB50" t="s">
        <v>1145</v>
      </c>
      <c r="AG50" t="s">
        <v>1551</v>
      </c>
      <c r="AH50" t="s">
        <v>1163</v>
      </c>
      <c r="AI50" t="s">
        <v>1527</v>
      </c>
      <c r="AJ50" t="s">
        <v>1346</v>
      </c>
      <c r="AK50" t="s">
        <v>1145</v>
      </c>
      <c r="AL50" t="s">
        <v>1153</v>
      </c>
      <c r="AM50" t="s">
        <v>1151</v>
      </c>
      <c r="AN50" t="s">
        <v>1158</v>
      </c>
      <c r="AP50" t="s">
        <v>1149</v>
      </c>
      <c r="AQ50" t="s">
        <v>1241</v>
      </c>
      <c r="AW50" t="s">
        <v>1153</v>
      </c>
      <c r="AX50" t="s">
        <v>1158</v>
      </c>
      <c r="AZ50" t="s">
        <v>1462</v>
      </c>
      <c r="BB50" t="s">
        <v>1552</v>
      </c>
      <c r="BD50" t="s">
        <v>1281</v>
      </c>
      <c r="BG50" t="s">
        <v>1158</v>
      </c>
    </row>
    <row r="51" spans="16:59" x14ac:dyDescent="0.25">
      <c r="P51" t="s">
        <v>1257</v>
      </c>
      <c r="W51" t="s">
        <v>1157</v>
      </c>
      <c r="Y51" t="s">
        <v>1200</v>
      </c>
      <c r="AB51" t="s">
        <v>1145</v>
      </c>
      <c r="AH51" t="s">
        <v>1163</v>
      </c>
      <c r="AI51" t="s">
        <v>1181</v>
      </c>
      <c r="AJ51" t="s">
        <v>1145</v>
      </c>
      <c r="AK51" t="s">
        <v>1304</v>
      </c>
      <c r="AL51" t="s">
        <v>1153</v>
      </c>
      <c r="AM51" t="s">
        <v>1346</v>
      </c>
      <c r="AN51" t="s">
        <v>1158</v>
      </c>
      <c r="AP51" t="s">
        <v>1184</v>
      </c>
      <c r="AQ51" t="s">
        <v>1153</v>
      </c>
      <c r="AW51" t="s">
        <v>1249</v>
      </c>
      <c r="AX51" t="s">
        <v>4085</v>
      </c>
      <c r="AZ51" s="71" t="s">
        <v>1196</v>
      </c>
      <c r="BB51" t="s">
        <v>1195</v>
      </c>
      <c r="BD51" t="s">
        <v>1152</v>
      </c>
      <c r="BG51" t="s">
        <v>1195</v>
      </c>
    </row>
    <row r="52" spans="16:59" x14ac:dyDescent="0.25">
      <c r="P52" t="s">
        <v>1145</v>
      </c>
      <c r="W52" t="s">
        <v>1350</v>
      </c>
      <c r="Y52" t="s">
        <v>1553</v>
      </c>
      <c r="AB52" t="s">
        <v>1145</v>
      </c>
      <c r="AH52" t="s">
        <v>1151</v>
      </c>
      <c r="AI52" t="s">
        <v>1158</v>
      </c>
      <c r="AK52" t="s">
        <v>1181</v>
      </c>
      <c r="AL52" t="s">
        <v>1175</v>
      </c>
      <c r="AM52" t="s">
        <v>1315</v>
      </c>
      <c r="AN52" t="s">
        <v>1180</v>
      </c>
      <c r="AP52" t="s">
        <v>4037</v>
      </c>
      <c r="AQ52" t="s">
        <v>1153</v>
      </c>
      <c r="AW52" t="s">
        <v>1181</v>
      </c>
      <c r="AX52" t="s">
        <v>1379</v>
      </c>
      <c r="AZ52" t="s">
        <v>1189</v>
      </c>
      <c r="BB52" t="s">
        <v>1163</v>
      </c>
      <c r="BD52" t="s">
        <v>1323</v>
      </c>
      <c r="BG52" t="s">
        <v>1196</v>
      </c>
    </row>
    <row r="53" spans="16:59" x14ac:dyDescent="0.25">
      <c r="P53" t="s">
        <v>1401</v>
      </c>
      <c r="W53" t="s">
        <v>1262</v>
      </c>
      <c r="Y53" t="s">
        <v>1323</v>
      </c>
      <c r="AB53" t="s">
        <v>1161</v>
      </c>
      <c r="AH53" t="s">
        <v>1158</v>
      </c>
      <c r="AI53" t="s">
        <v>1289</v>
      </c>
      <c r="AK53" t="s">
        <v>1173</v>
      </c>
      <c r="AL53" t="s">
        <v>1554</v>
      </c>
      <c r="AM53" t="s">
        <v>1335</v>
      </c>
      <c r="AN53" t="s">
        <v>1329</v>
      </c>
      <c r="AP53" t="s">
        <v>4038</v>
      </c>
      <c r="AQ53" t="s">
        <v>1153</v>
      </c>
      <c r="AW53" t="s">
        <v>1285</v>
      </c>
      <c r="AX53" t="s">
        <v>1253</v>
      </c>
      <c r="AZ53" t="s">
        <v>1555</v>
      </c>
      <c r="BB53" t="s">
        <v>1158</v>
      </c>
      <c r="BD53" t="s">
        <v>1144</v>
      </c>
    </row>
    <row r="54" spans="16:59" x14ac:dyDescent="0.25">
      <c r="P54" t="s">
        <v>4183</v>
      </c>
      <c r="W54" t="s">
        <v>1145</v>
      </c>
      <c r="Y54" t="s">
        <v>1163</v>
      </c>
      <c r="AB54" t="s">
        <v>1378</v>
      </c>
      <c r="AH54" t="s">
        <v>1200</v>
      </c>
      <c r="AI54" t="s">
        <v>1402</v>
      </c>
      <c r="AK54" t="s">
        <v>1145</v>
      </c>
      <c r="AL54" t="s">
        <v>1151</v>
      </c>
      <c r="AM54" t="s">
        <v>1151</v>
      </c>
      <c r="AP54" t="s">
        <v>4039</v>
      </c>
      <c r="AQ54" t="s">
        <v>1153</v>
      </c>
      <c r="AW54" s="71" t="s">
        <v>1145</v>
      </c>
      <c r="AX54" t="s">
        <v>1416</v>
      </c>
      <c r="AZ54" t="s">
        <v>1556</v>
      </c>
      <c r="BB54" t="s">
        <v>1152</v>
      </c>
      <c r="BD54" t="s">
        <v>1163</v>
      </c>
    </row>
    <row r="55" spans="16:59" x14ac:dyDescent="0.25">
      <c r="P55" t="s">
        <v>4194</v>
      </c>
      <c r="W55" t="s">
        <v>1180</v>
      </c>
      <c r="Y55" s="71" t="s">
        <v>1158</v>
      </c>
      <c r="AB55" t="s">
        <v>1378</v>
      </c>
      <c r="AH55" t="s">
        <v>1181</v>
      </c>
      <c r="AI55" t="s">
        <v>1151</v>
      </c>
      <c r="AK55" t="s">
        <v>1151</v>
      </c>
      <c r="AL55" t="s">
        <v>1557</v>
      </c>
      <c r="AM55" t="s">
        <v>1351</v>
      </c>
      <c r="AP55" t="s">
        <v>4040</v>
      </c>
      <c r="AQ55" t="s">
        <v>1153</v>
      </c>
      <c r="AW55" t="s">
        <v>1378</v>
      </c>
      <c r="AX55" t="s">
        <v>1338</v>
      </c>
      <c r="AZ55" t="s">
        <v>1558</v>
      </c>
      <c r="BB55" t="s">
        <v>1151</v>
      </c>
      <c r="BD55" t="s">
        <v>1196</v>
      </c>
    </row>
    <row r="56" spans="16:59" x14ac:dyDescent="0.25">
      <c r="W56" t="s">
        <v>1145</v>
      </c>
      <c r="Y56" t="s">
        <v>1171</v>
      </c>
      <c r="AB56" t="s">
        <v>1378</v>
      </c>
      <c r="AH56" t="s">
        <v>4044</v>
      </c>
      <c r="AI56" t="s">
        <v>1315</v>
      </c>
      <c r="AK56" t="s">
        <v>1281</v>
      </c>
      <c r="AL56" t="s">
        <v>1516</v>
      </c>
      <c r="AP56" t="s">
        <v>1567</v>
      </c>
      <c r="AQ56" t="s">
        <v>1189</v>
      </c>
      <c r="AW56" s="71" t="s">
        <v>1204</v>
      </c>
      <c r="AX56" t="s">
        <v>1261</v>
      </c>
      <c r="AZ56" t="s">
        <v>1559</v>
      </c>
      <c r="BB56" t="s">
        <v>1356</v>
      </c>
      <c r="BD56" t="s">
        <v>1149</v>
      </c>
    </row>
    <row r="57" spans="16:59" x14ac:dyDescent="0.25">
      <c r="W57" t="s">
        <v>1151</v>
      </c>
      <c r="Y57" t="s">
        <v>1387</v>
      </c>
      <c r="AB57" t="s">
        <v>1151</v>
      </c>
      <c r="AH57" t="s">
        <v>4043</v>
      </c>
      <c r="AI57" t="s">
        <v>1335</v>
      </c>
      <c r="AK57" t="s">
        <v>1407</v>
      </c>
      <c r="AL57" t="s">
        <v>1304</v>
      </c>
      <c r="AP57" t="s">
        <v>1281</v>
      </c>
      <c r="AQ57" t="s">
        <v>1196</v>
      </c>
      <c r="AW57" t="s">
        <v>1249</v>
      </c>
      <c r="AX57" t="s">
        <v>1386</v>
      </c>
      <c r="AZ57" t="s">
        <v>1223</v>
      </c>
      <c r="BB57" t="s">
        <v>1560</v>
      </c>
      <c r="BD57" t="s">
        <v>1181</v>
      </c>
    </row>
    <row r="58" spans="16:59" x14ac:dyDescent="0.25">
      <c r="W58" t="s">
        <v>1154</v>
      </c>
      <c r="Y58" t="s">
        <v>1390</v>
      </c>
      <c r="AB58" t="s">
        <v>1200</v>
      </c>
      <c r="AH58" t="s">
        <v>1151</v>
      </c>
      <c r="AI58" t="s">
        <v>1346</v>
      </c>
      <c r="AK58" t="s">
        <v>1188</v>
      </c>
      <c r="AL58" t="s">
        <v>1200</v>
      </c>
      <c r="AP58" t="s">
        <v>4041</v>
      </c>
      <c r="AQ58" t="s">
        <v>1546</v>
      </c>
      <c r="AW58" t="s">
        <v>1158</v>
      </c>
      <c r="AX58" t="s">
        <v>1219</v>
      </c>
      <c r="AZ58" t="s">
        <v>1561</v>
      </c>
      <c r="BB58" t="s">
        <v>1562</v>
      </c>
      <c r="BD58" t="s">
        <v>1160</v>
      </c>
    </row>
    <row r="59" spans="16:59" x14ac:dyDescent="0.25">
      <c r="W59" t="s">
        <v>1402</v>
      </c>
      <c r="Y59" t="s">
        <v>1400</v>
      </c>
      <c r="AB59" t="s">
        <v>1158</v>
      </c>
      <c r="AH59" t="s">
        <v>1351</v>
      </c>
      <c r="AI59" t="s">
        <v>1271</v>
      </c>
      <c r="AK59" t="s">
        <v>1171</v>
      </c>
      <c r="AL59" t="s">
        <v>1196</v>
      </c>
      <c r="AP59" t="s">
        <v>1195</v>
      </c>
      <c r="AQ59" t="s">
        <v>1158</v>
      </c>
      <c r="AW59" t="s">
        <v>1563</v>
      </c>
      <c r="AX59" t="s">
        <v>1181</v>
      </c>
      <c r="AZ59" t="s">
        <v>1305</v>
      </c>
      <c r="BB59" t="s">
        <v>1325</v>
      </c>
      <c r="BD59" t="s">
        <v>1316</v>
      </c>
    </row>
    <row r="60" spans="16:59" x14ac:dyDescent="0.25">
      <c r="W60" t="s">
        <v>1417</v>
      </c>
      <c r="Y60" t="s">
        <v>1378</v>
      </c>
      <c r="AB60" t="s">
        <v>1564</v>
      </c>
      <c r="AH60" t="s">
        <v>1534</v>
      </c>
      <c r="AI60" t="s">
        <v>1271</v>
      </c>
      <c r="AK60" t="s">
        <v>1158</v>
      </c>
      <c r="AL60" t="s">
        <v>1144</v>
      </c>
      <c r="AP60" t="s">
        <v>1152</v>
      </c>
      <c r="AQ60" t="s">
        <v>1158</v>
      </c>
      <c r="AW60" t="s">
        <v>1204</v>
      </c>
      <c r="AX60" t="s">
        <v>1171</v>
      </c>
      <c r="AZ60" t="s">
        <v>1558</v>
      </c>
      <c r="BB60" t="s">
        <v>1149</v>
      </c>
      <c r="BD60" t="s">
        <v>1200</v>
      </c>
    </row>
    <row r="61" spans="16:59" x14ac:dyDescent="0.25">
      <c r="W61" t="s">
        <v>1171</v>
      </c>
      <c r="Y61" t="s">
        <v>1378</v>
      </c>
      <c r="AB61" t="s">
        <v>1396</v>
      </c>
      <c r="AH61" t="s">
        <v>4044</v>
      </c>
      <c r="AI61" t="s">
        <v>1271</v>
      </c>
      <c r="AK61" t="s">
        <v>1509</v>
      </c>
      <c r="AL61" t="s">
        <v>1392</v>
      </c>
      <c r="AP61" t="s">
        <v>1196</v>
      </c>
      <c r="AQ61" t="s">
        <v>1157</v>
      </c>
      <c r="AW61" t="s">
        <v>1158</v>
      </c>
      <c r="AX61" t="s">
        <v>1171</v>
      </c>
      <c r="AZ61" t="s">
        <v>1312</v>
      </c>
      <c r="BB61" t="s">
        <v>1171</v>
      </c>
      <c r="BD61" t="s">
        <v>1565</v>
      </c>
    </row>
    <row r="62" spans="16:59" x14ac:dyDescent="0.25">
      <c r="W62" t="s">
        <v>1316</v>
      </c>
      <c r="Y62" t="s">
        <v>1378</v>
      </c>
      <c r="AB62" t="s">
        <v>1566</v>
      </c>
      <c r="AI62" t="s">
        <v>1271</v>
      </c>
      <c r="AK62" t="s">
        <v>1522</v>
      </c>
      <c r="AL62" t="s">
        <v>1320</v>
      </c>
      <c r="AP62" t="s">
        <v>4050</v>
      </c>
      <c r="AQ62" t="s">
        <v>1163</v>
      </c>
      <c r="AW62" t="s">
        <v>1453</v>
      </c>
      <c r="AX62" s="71" t="s">
        <v>1150</v>
      </c>
      <c r="AZ62" t="s">
        <v>1403</v>
      </c>
      <c r="BB62" t="s">
        <v>1145</v>
      </c>
      <c r="BD62" t="s">
        <v>1567</v>
      </c>
    </row>
    <row r="63" spans="16:59" x14ac:dyDescent="0.25">
      <c r="Y63" t="s">
        <v>1151</v>
      </c>
      <c r="AB63" t="s">
        <v>1154</v>
      </c>
      <c r="AI63" t="s">
        <v>1439</v>
      </c>
      <c r="AK63" t="s">
        <v>4000</v>
      </c>
      <c r="AL63" t="s">
        <v>1475</v>
      </c>
      <c r="AP63" t="s">
        <v>4051</v>
      </c>
      <c r="AQ63" t="s">
        <v>1274</v>
      </c>
      <c r="AW63" t="s">
        <v>1411</v>
      </c>
      <c r="AX63" t="s">
        <v>1434</v>
      </c>
      <c r="AZ63" t="s">
        <v>1568</v>
      </c>
      <c r="BB63" t="s">
        <v>1448</v>
      </c>
      <c r="BD63" t="s">
        <v>1569</v>
      </c>
    </row>
    <row r="64" spans="16:59" x14ac:dyDescent="0.25">
      <c r="Y64" t="s">
        <v>1200</v>
      </c>
      <c r="AB64" t="s">
        <v>1416</v>
      </c>
      <c r="AI64" t="s">
        <v>1197</v>
      </c>
      <c r="AK64" t="s">
        <v>1181</v>
      </c>
      <c r="AL64" t="s">
        <v>1165</v>
      </c>
      <c r="AP64" t="s">
        <v>4052</v>
      </c>
      <c r="AQ64" t="s">
        <v>1312</v>
      </c>
      <c r="AW64" t="s">
        <v>1316</v>
      </c>
      <c r="AX64" t="s">
        <v>1157</v>
      </c>
      <c r="AZ64" t="s">
        <v>1304</v>
      </c>
      <c r="BB64" t="s">
        <v>1570</v>
      </c>
      <c r="BD64" t="s">
        <v>1571</v>
      </c>
    </row>
    <row r="65" spans="25:56" x14ac:dyDescent="0.25">
      <c r="Y65" t="s">
        <v>4043</v>
      </c>
      <c r="AB65" t="s">
        <v>1572</v>
      </c>
      <c r="AI65" t="s">
        <v>1171</v>
      </c>
      <c r="AL65" t="s">
        <v>1149</v>
      </c>
      <c r="AP65" t="s">
        <v>1151</v>
      </c>
      <c r="AQ65" t="s">
        <v>1471</v>
      </c>
      <c r="AW65" t="s">
        <v>1188</v>
      </c>
      <c r="AX65" t="s">
        <v>1149</v>
      </c>
      <c r="AZ65" t="s">
        <v>1154</v>
      </c>
      <c r="BB65" t="s">
        <v>1437</v>
      </c>
      <c r="BD65" t="s">
        <v>1288</v>
      </c>
    </row>
    <row r="66" spans="25:56" x14ac:dyDescent="0.25">
      <c r="Y66" t="s">
        <v>4044</v>
      </c>
      <c r="AI66" t="s">
        <v>1463</v>
      </c>
      <c r="AL66" t="s">
        <v>1145</v>
      </c>
      <c r="AP66" t="s">
        <v>1158</v>
      </c>
      <c r="AQ66" t="s">
        <v>1316</v>
      </c>
      <c r="AW66" t="s">
        <v>1144</v>
      </c>
      <c r="AX66" t="s">
        <v>1165</v>
      </c>
      <c r="AZ66" t="s">
        <v>1181</v>
      </c>
      <c r="BB66" t="s">
        <v>1144</v>
      </c>
      <c r="BD66" t="s">
        <v>1258</v>
      </c>
    </row>
    <row r="67" spans="25:56" x14ac:dyDescent="0.25">
      <c r="AL67" t="s">
        <v>1528</v>
      </c>
      <c r="AP67" t="s">
        <v>1195</v>
      </c>
      <c r="AQ67" t="s">
        <v>1260</v>
      </c>
      <c r="AW67" t="s">
        <v>1433</v>
      </c>
      <c r="AX67" t="s">
        <v>1160</v>
      </c>
      <c r="AZ67" t="s">
        <v>1200</v>
      </c>
      <c r="BB67" t="s">
        <v>1281</v>
      </c>
      <c r="BD67" t="s">
        <v>1573</v>
      </c>
    </row>
    <row r="68" spans="25:56" x14ac:dyDescent="0.25">
      <c r="AL68" t="s">
        <v>1200</v>
      </c>
      <c r="AP68" t="s">
        <v>1158</v>
      </c>
      <c r="AQ68" t="s">
        <v>1163</v>
      </c>
      <c r="AW68" t="s">
        <v>1188</v>
      </c>
      <c r="AX68" t="s">
        <v>1260</v>
      </c>
      <c r="BB68" t="s">
        <v>1154</v>
      </c>
      <c r="BD68" t="s">
        <v>1574</v>
      </c>
    </row>
    <row r="69" spans="25:56" x14ac:dyDescent="0.25">
      <c r="AL69" t="s">
        <v>1533</v>
      </c>
      <c r="AP69" t="s">
        <v>1288</v>
      </c>
      <c r="AQ69" t="s">
        <v>1546</v>
      </c>
      <c r="AW69" t="s">
        <v>1144</v>
      </c>
      <c r="AX69" t="s">
        <v>1149</v>
      </c>
      <c r="BB69" t="s">
        <v>1575</v>
      </c>
      <c r="BD69" t="s">
        <v>1576</v>
      </c>
    </row>
    <row r="70" spans="25:56" x14ac:dyDescent="0.25">
      <c r="AL70" t="s">
        <v>1534</v>
      </c>
      <c r="AP70" t="s">
        <v>1200</v>
      </c>
      <c r="AQ70" t="s">
        <v>1639</v>
      </c>
      <c r="AW70" t="s">
        <v>1433</v>
      </c>
      <c r="AX70" t="s">
        <v>4118</v>
      </c>
      <c r="BB70" t="s">
        <v>1577</v>
      </c>
      <c r="BD70" t="s">
        <v>1151</v>
      </c>
    </row>
    <row r="71" spans="25:56" x14ac:dyDescent="0.25">
      <c r="AL71" t="s">
        <v>1274</v>
      </c>
      <c r="AP71" t="s">
        <v>4064</v>
      </c>
      <c r="AQ71" t="s">
        <v>1316</v>
      </c>
      <c r="AW71" t="s">
        <v>1171</v>
      </c>
      <c r="AX71" t="s">
        <v>4118</v>
      </c>
      <c r="BB71" t="s">
        <v>1316</v>
      </c>
      <c r="BD71" t="s">
        <v>1147</v>
      </c>
    </row>
    <row r="72" spans="25:56" x14ac:dyDescent="0.25">
      <c r="AL72" t="s">
        <v>1453</v>
      </c>
      <c r="AP72" t="s">
        <v>4065</v>
      </c>
      <c r="AQ72" t="s">
        <v>1333</v>
      </c>
      <c r="AW72" t="s">
        <v>1204</v>
      </c>
      <c r="AX72" t="s">
        <v>4118</v>
      </c>
      <c r="BB72" t="s">
        <v>1181</v>
      </c>
      <c r="BD72" t="s">
        <v>1158</v>
      </c>
    </row>
    <row r="73" spans="25:56" x14ac:dyDescent="0.25">
      <c r="AL73" t="s">
        <v>1181</v>
      </c>
      <c r="AP73" t="s">
        <v>4066</v>
      </c>
      <c r="AQ73" t="s">
        <v>1383</v>
      </c>
      <c r="AW73" t="s">
        <v>1578</v>
      </c>
      <c r="AX73" t="s">
        <v>4119</v>
      </c>
      <c r="BB73" t="s">
        <v>1288</v>
      </c>
      <c r="BD73" t="s">
        <v>1145</v>
      </c>
    </row>
    <row r="74" spans="25:56" x14ac:dyDescent="0.25">
      <c r="AL74" t="s">
        <v>1531</v>
      </c>
      <c r="AP74" t="s">
        <v>4067</v>
      </c>
      <c r="AQ74" s="71" t="s">
        <v>1145</v>
      </c>
      <c r="AW74" s="71" t="s">
        <v>1145</v>
      </c>
      <c r="AX74" t="s">
        <v>4120</v>
      </c>
      <c r="BB74" t="s">
        <v>1579</v>
      </c>
      <c r="BD74" t="s">
        <v>1171</v>
      </c>
    </row>
    <row r="75" spans="25:56" x14ac:dyDescent="0.25">
      <c r="AL75" t="s">
        <v>1516</v>
      </c>
      <c r="AP75" t="s">
        <v>1411</v>
      </c>
      <c r="AQ75" t="s">
        <v>1505</v>
      </c>
      <c r="AW75" t="s">
        <v>1224</v>
      </c>
      <c r="AX75" t="s">
        <v>4121</v>
      </c>
      <c r="BB75" t="s">
        <v>1580</v>
      </c>
      <c r="BD75" t="s">
        <v>1403</v>
      </c>
    </row>
    <row r="76" spans="25:56" x14ac:dyDescent="0.25">
      <c r="AL76" t="s">
        <v>1304</v>
      </c>
      <c r="AP76" t="s">
        <v>4068</v>
      </c>
      <c r="AQ76" t="s">
        <v>1315</v>
      </c>
      <c r="AW76" t="s">
        <v>1151</v>
      </c>
      <c r="AX76" t="s">
        <v>1480</v>
      </c>
      <c r="BB76" t="s">
        <v>1176</v>
      </c>
      <c r="BD76" t="s">
        <v>1419</v>
      </c>
    </row>
    <row r="77" spans="25:56" x14ac:dyDescent="0.25">
      <c r="AL77" t="s">
        <v>1200</v>
      </c>
      <c r="AP77" t="s">
        <v>1478</v>
      </c>
      <c r="AQ77" t="s">
        <v>4197</v>
      </c>
      <c r="AW77" t="s">
        <v>1144</v>
      </c>
      <c r="AX77" t="s">
        <v>1527</v>
      </c>
      <c r="BB77" t="s">
        <v>1200</v>
      </c>
      <c r="BD77" t="s">
        <v>1184</v>
      </c>
    </row>
    <row r="78" spans="25:56" x14ac:dyDescent="0.25">
      <c r="AL78" t="s">
        <v>1171</v>
      </c>
      <c r="AP78" t="s">
        <v>1258</v>
      </c>
      <c r="AQ78" t="s">
        <v>1534</v>
      </c>
      <c r="AW78" t="s">
        <v>1145</v>
      </c>
      <c r="AX78" t="s">
        <v>1523</v>
      </c>
      <c r="BB78" t="s">
        <v>1581</v>
      </c>
      <c r="BD78" t="s">
        <v>1582</v>
      </c>
    </row>
    <row r="79" spans="25:56" x14ac:dyDescent="0.25">
      <c r="AL79" t="s">
        <v>1151</v>
      </c>
      <c r="AP79" t="s">
        <v>1149</v>
      </c>
      <c r="AQ79" t="s">
        <v>4044</v>
      </c>
      <c r="AW79" t="s">
        <v>1315</v>
      </c>
      <c r="AX79" t="s">
        <v>1176</v>
      </c>
      <c r="BB79" t="s">
        <v>1583</v>
      </c>
      <c r="BD79" t="s">
        <v>1584</v>
      </c>
    </row>
    <row r="80" spans="25:56" x14ac:dyDescent="0.25">
      <c r="AL80" t="s">
        <v>1505</v>
      </c>
      <c r="AP80" t="s">
        <v>1330</v>
      </c>
      <c r="AW80" t="s">
        <v>1585</v>
      </c>
      <c r="AX80" t="s">
        <v>4122</v>
      </c>
      <c r="BB80" t="s">
        <v>1501</v>
      </c>
      <c r="BD80" t="s">
        <v>1586</v>
      </c>
    </row>
    <row r="81" spans="38:56" x14ac:dyDescent="0.25">
      <c r="AL81" t="s">
        <v>1145</v>
      </c>
      <c r="AP81" t="s">
        <v>4069</v>
      </c>
      <c r="AW81" t="s">
        <v>1335</v>
      </c>
      <c r="AX81" t="s">
        <v>4123</v>
      </c>
      <c r="BB81" t="s">
        <v>1209</v>
      </c>
      <c r="BD81" t="s">
        <v>1587</v>
      </c>
    </row>
    <row r="82" spans="38:56" x14ac:dyDescent="0.25">
      <c r="AL82" t="s">
        <v>1177</v>
      </c>
      <c r="AP82" t="s">
        <v>4070</v>
      </c>
      <c r="AW82" t="s">
        <v>1151</v>
      </c>
      <c r="AX82" t="s">
        <v>1145</v>
      </c>
      <c r="BB82" t="s">
        <v>1312</v>
      </c>
      <c r="BD82" t="s">
        <v>1588</v>
      </c>
    </row>
    <row r="83" spans="38:56" x14ac:dyDescent="0.25">
      <c r="AL83" t="s">
        <v>1196</v>
      </c>
      <c r="AP83" t="s">
        <v>4071</v>
      </c>
      <c r="AW83" t="s">
        <v>1316</v>
      </c>
      <c r="AX83" t="s">
        <v>1612</v>
      </c>
      <c r="BB83" t="s">
        <v>1328</v>
      </c>
      <c r="BD83" t="s">
        <v>1589</v>
      </c>
    </row>
    <row r="84" spans="38:56" x14ac:dyDescent="0.25">
      <c r="AL84" t="s">
        <v>1145</v>
      </c>
      <c r="AP84" t="s">
        <v>4072</v>
      </c>
      <c r="AW84" t="s">
        <v>1171</v>
      </c>
      <c r="AX84" t="s">
        <v>1145</v>
      </c>
      <c r="BB84" t="s">
        <v>1149</v>
      </c>
      <c r="BD84" t="s">
        <v>1590</v>
      </c>
    </row>
    <row r="85" spans="38:56" x14ac:dyDescent="0.25">
      <c r="AP85" t="s">
        <v>1315</v>
      </c>
      <c r="AW85" t="s">
        <v>1417</v>
      </c>
      <c r="AX85" t="s">
        <v>1145</v>
      </c>
      <c r="BB85" t="s">
        <v>1163</v>
      </c>
      <c r="BD85" t="s">
        <v>1591</v>
      </c>
    </row>
    <row r="86" spans="38:56" x14ac:dyDescent="0.25">
      <c r="AP86" t="s">
        <v>4005</v>
      </c>
      <c r="AW86" t="s">
        <v>1592</v>
      </c>
      <c r="AX86" s="71" t="s">
        <v>1224</v>
      </c>
      <c r="BB86" t="s">
        <v>1593</v>
      </c>
      <c r="BD86" t="s">
        <v>1594</v>
      </c>
    </row>
    <row r="87" spans="38:56" x14ac:dyDescent="0.25">
      <c r="AP87" t="s">
        <v>1361</v>
      </c>
      <c r="AW87" t="s">
        <v>1144</v>
      </c>
      <c r="AX87" t="s">
        <v>1200</v>
      </c>
      <c r="BB87" t="s">
        <v>1158</v>
      </c>
      <c r="BD87" t="s">
        <v>1595</v>
      </c>
    </row>
    <row r="88" spans="38:56" x14ac:dyDescent="0.25">
      <c r="AP88" t="s">
        <v>1335</v>
      </c>
      <c r="AW88" t="s">
        <v>1145</v>
      </c>
      <c r="AX88" t="s">
        <v>4162</v>
      </c>
      <c r="BB88" t="s">
        <v>1200</v>
      </c>
      <c r="BD88" t="s">
        <v>1596</v>
      </c>
    </row>
    <row r="89" spans="38:56" x14ac:dyDescent="0.25">
      <c r="AP89" t="s">
        <v>4073</v>
      </c>
      <c r="AW89" t="s">
        <v>1361</v>
      </c>
      <c r="AX89" t="s">
        <v>1197</v>
      </c>
      <c r="BB89" t="s">
        <v>1248</v>
      </c>
      <c r="BD89" t="s">
        <v>1597</v>
      </c>
    </row>
    <row r="90" spans="38:56" x14ac:dyDescent="0.25">
      <c r="AP90" t="s">
        <v>4074</v>
      </c>
      <c r="AW90" t="s">
        <v>1315</v>
      </c>
      <c r="BB90" t="s">
        <v>1493</v>
      </c>
      <c r="BD90" t="s">
        <v>1598</v>
      </c>
    </row>
    <row r="91" spans="38:56" x14ac:dyDescent="0.25">
      <c r="AP91" t="s">
        <v>4005</v>
      </c>
      <c r="AW91" t="s">
        <v>4005</v>
      </c>
      <c r="BB91" t="s">
        <v>1158</v>
      </c>
      <c r="BD91" t="s">
        <v>1599</v>
      </c>
    </row>
    <row r="92" spans="38:56" x14ac:dyDescent="0.25">
      <c r="AP92" t="s">
        <v>1505</v>
      </c>
      <c r="AW92" t="s">
        <v>1200</v>
      </c>
      <c r="BB92" t="s">
        <v>1200</v>
      </c>
      <c r="BD92" t="s">
        <v>1600</v>
      </c>
    </row>
    <row r="93" spans="38:56" x14ac:dyDescent="0.25">
      <c r="AP93" t="s">
        <v>1175</v>
      </c>
      <c r="AW93" t="s">
        <v>4012</v>
      </c>
      <c r="BB93" t="s">
        <v>1233</v>
      </c>
      <c r="BD93" t="s">
        <v>1601</v>
      </c>
    </row>
    <row r="94" spans="38:56" x14ac:dyDescent="0.25">
      <c r="AP94" t="s">
        <v>1554</v>
      </c>
      <c r="AW94" t="s">
        <v>1378</v>
      </c>
      <c r="BB94" t="s">
        <v>1209</v>
      </c>
      <c r="BD94" t="s">
        <v>1602</v>
      </c>
    </row>
    <row r="95" spans="38:56" x14ac:dyDescent="0.25">
      <c r="AP95" t="s">
        <v>1151</v>
      </c>
      <c r="AW95" t="s">
        <v>1378</v>
      </c>
      <c r="BB95" t="s">
        <v>1145</v>
      </c>
      <c r="BD95" t="s">
        <v>1603</v>
      </c>
    </row>
    <row r="96" spans="38:56" x14ac:dyDescent="0.25">
      <c r="AP96" t="s">
        <v>1557</v>
      </c>
      <c r="AW96" t="s">
        <v>1378</v>
      </c>
      <c r="BB96" t="s">
        <v>1163</v>
      </c>
      <c r="BD96" t="s">
        <v>1604</v>
      </c>
    </row>
    <row r="97" spans="42:71" x14ac:dyDescent="0.25">
      <c r="AP97" t="s">
        <v>4107</v>
      </c>
      <c r="AW97" t="s">
        <v>1151</v>
      </c>
      <c r="BB97" t="s">
        <v>1158</v>
      </c>
      <c r="BD97" t="s">
        <v>1605</v>
      </c>
    </row>
    <row r="98" spans="42:71" x14ac:dyDescent="0.25">
      <c r="AP98" t="s">
        <v>1165</v>
      </c>
      <c r="AW98" t="s">
        <v>1200</v>
      </c>
      <c r="BB98" t="s">
        <v>1422</v>
      </c>
      <c r="BD98" t="s">
        <v>1606</v>
      </c>
    </row>
    <row r="99" spans="42:71" x14ac:dyDescent="0.25">
      <c r="AP99" t="s">
        <v>1149</v>
      </c>
      <c r="BB99" t="s">
        <v>1181</v>
      </c>
      <c r="BD99" t="s">
        <v>1607</v>
      </c>
    </row>
    <row r="100" spans="42:71" x14ac:dyDescent="0.25">
      <c r="AP100" t="s">
        <v>1145</v>
      </c>
      <c r="BB100" t="s">
        <v>1422</v>
      </c>
      <c r="BD100" t="s">
        <v>1608</v>
      </c>
      <c r="BR100">
        <v>75625</v>
      </c>
      <c r="BS100">
        <v>129</v>
      </c>
    </row>
    <row r="101" spans="42:71" x14ac:dyDescent="0.25">
      <c r="BB101" t="s">
        <v>1158</v>
      </c>
      <c r="BD101" t="s">
        <v>1609</v>
      </c>
      <c r="BR101">
        <v>37812.5</v>
      </c>
      <c r="BS101">
        <v>15425</v>
      </c>
    </row>
    <row r="102" spans="42:71" x14ac:dyDescent="0.25">
      <c r="BB102" t="s">
        <v>1181</v>
      </c>
      <c r="BD102" t="s">
        <v>1610</v>
      </c>
      <c r="BR102">
        <v>710</v>
      </c>
      <c r="BS102">
        <v>310</v>
      </c>
    </row>
    <row r="103" spans="42:71" x14ac:dyDescent="0.25">
      <c r="BB103" t="s">
        <v>1171</v>
      </c>
      <c r="BD103" t="s">
        <v>1611</v>
      </c>
      <c r="BS103">
        <v>164</v>
      </c>
    </row>
    <row r="104" spans="42:71" x14ac:dyDescent="0.25">
      <c r="BB104" t="s">
        <v>1612</v>
      </c>
      <c r="BD104" t="s">
        <v>1613</v>
      </c>
    </row>
    <row r="105" spans="42:71" x14ac:dyDescent="0.25">
      <c r="BB105" t="s">
        <v>1145</v>
      </c>
      <c r="BD105" t="s">
        <v>1614</v>
      </c>
    </row>
    <row r="106" spans="42:71" x14ac:dyDescent="0.25">
      <c r="BB106" t="s">
        <v>1615</v>
      </c>
      <c r="BD106" t="s">
        <v>1616</v>
      </c>
    </row>
    <row r="107" spans="42:71" x14ac:dyDescent="0.25">
      <c r="BB107" t="s">
        <v>1181</v>
      </c>
      <c r="BD107" t="s">
        <v>1617</v>
      </c>
    </row>
    <row r="108" spans="42:71" x14ac:dyDescent="0.25">
      <c r="BB108" t="s">
        <v>1392</v>
      </c>
      <c r="BD108" t="s">
        <v>1618</v>
      </c>
    </row>
    <row r="109" spans="42:71" x14ac:dyDescent="0.25">
      <c r="BD109" t="s">
        <v>1619</v>
      </c>
    </row>
    <row r="110" spans="42:71" x14ac:dyDescent="0.25">
      <c r="BD110" t="s">
        <v>1620</v>
      </c>
    </row>
    <row r="111" spans="42:71" x14ac:dyDescent="0.25">
      <c r="BD111" t="s">
        <v>1621</v>
      </c>
    </row>
    <row r="112" spans="42:71" x14ac:dyDescent="0.25">
      <c r="BD112" t="s">
        <v>1622</v>
      </c>
    </row>
    <row r="113" spans="56:56" x14ac:dyDescent="0.25">
      <c r="BD113" t="s">
        <v>1623</v>
      </c>
    </row>
    <row r="114" spans="56:56" x14ac:dyDescent="0.25">
      <c r="BD114" t="s">
        <v>1624</v>
      </c>
    </row>
    <row r="115" spans="56:56" x14ac:dyDescent="0.25">
      <c r="BD115" t="s">
        <v>1625</v>
      </c>
    </row>
    <row r="116" spans="56:56" x14ac:dyDescent="0.25">
      <c r="BD116" t="s">
        <v>1626</v>
      </c>
    </row>
    <row r="117" spans="56:56" x14ac:dyDescent="0.25">
      <c r="BD117" t="s">
        <v>1627</v>
      </c>
    </row>
    <row r="118" spans="56:56" x14ac:dyDescent="0.25">
      <c r="BD118" t="s">
        <v>1628</v>
      </c>
    </row>
    <row r="119" spans="56:56" x14ac:dyDescent="0.25">
      <c r="BD119" t="s">
        <v>1629</v>
      </c>
    </row>
    <row r="120" spans="56:56" x14ac:dyDescent="0.25">
      <c r="BD120" t="s">
        <v>1630</v>
      </c>
    </row>
    <row r="121" spans="56:56" x14ac:dyDescent="0.25">
      <c r="BD121" t="s">
        <v>1631</v>
      </c>
    </row>
    <row r="122" spans="56:56" x14ac:dyDescent="0.25">
      <c r="BD122" t="s">
        <v>1632</v>
      </c>
    </row>
    <row r="123" spans="56:56" x14ac:dyDescent="0.25">
      <c r="BD123" t="s">
        <v>1633</v>
      </c>
    </row>
    <row r="124" spans="56:56" x14ac:dyDescent="0.25">
      <c r="BD124" t="s">
        <v>1454</v>
      </c>
    </row>
    <row r="125" spans="56:56" x14ac:dyDescent="0.25">
      <c r="BD125" t="s">
        <v>1634</v>
      </c>
    </row>
    <row r="126" spans="56:56" x14ac:dyDescent="0.25">
      <c r="BD126" t="s">
        <v>1635</v>
      </c>
    </row>
    <row r="127" spans="56:56" x14ac:dyDescent="0.25">
      <c r="BD127" t="s">
        <v>1636</v>
      </c>
    </row>
    <row r="128" spans="56:56" x14ac:dyDescent="0.25">
      <c r="BD128" t="s">
        <v>1637</v>
      </c>
    </row>
    <row r="129" spans="56:56" x14ac:dyDescent="0.25">
      <c r="BD129" t="s">
        <v>1540</v>
      </c>
    </row>
    <row r="130" spans="56:56" x14ac:dyDescent="0.25">
      <c r="BD130" t="s">
        <v>1544</v>
      </c>
    </row>
    <row r="131" spans="56:56" x14ac:dyDescent="0.25">
      <c r="BD131" t="s">
        <v>1546</v>
      </c>
    </row>
    <row r="132" spans="56:56" x14ac:dyDescent="0.25">
      <c r="BD132" t="s">
        <v>1151</v>
      </c>
    </row>
    <row r="133" spans="56:56" x14ac:dyDescent="0.25">
      <c r="BD133" t="s">
        <v>1312</v>
      </c>
    </row>
    <row r="134" spans="56:56" x14ac:dyDescent="0.25">
      <c r="BD134" t="s">
        <v>1403</v>
      </c>
    </row>
    <row r="135" spans="56:56" x14ac:dyDescent="0.25">
      <c r="BD135" t="s">
        <v>1546</v>
      </c>
    </row>
    <row r="136" spans="56:56" x14ac:dyDescent="0.25">
      <c r="BD136" t="s">
        <v>1244</v>
      </c>
    </row>
    <row r="137" spans="56:56" x14ac:dyDescent="0.25">
      <c r="BD137" t="s">
        <v>1638</v>
      </c>
    </row>
    <row r="138" spans="56:56" x14ac:dyDescent="0.25">
      <c r="BD138" t="s">
        <v>1546</v>
      </c>
    </row>
    <row r="139" spans="56:56" x14ac:dyDescent="0.25">
      <c r="BD139" t="s">
        <v>1260</v>
      </c>
    </row>
    <row r="140" spans="56:56" x14ac:dyDescent="0.25">
      <c r="BD140" t="s">
        <v>1163</v>
      </c>
    </row>
    <row r="141" spans="56:56" x14ac:dyDescent="0.25">
      <c r="BD141" t="s">
        <v>1546</v>
      </c>
    </row>
    <row r="142" spans="56:56" x14ac:dyDescent="0.25">
      <c r="BD142" t="s">
        <v>1639</v>
      </c>
    </row>
    <row r="143" spans="56:56" x14ac:dyDescent="0.25">
      <c r="BD143" t="s">
        <v>1151</v>
      </c>
    </row>
    <row r="144" spans="56:56" x14ac:dyDescent="0.25">
      <c r="BD144" t="s">
        <v>1315</v>
      </c>
    </row>
    <row r="145" spans="56:56" x14ac:dyDescent="0.25">
      <c r="BD145" t="s">
        <v>1335</v>
      </c>
    </row>
    <row r="146" spans="56:56" x14ac:dyDescent="0.25">
      <c r="BD146" t="s">
        <v>1346</v>
      </c>
    </row>
    <row r="147" spans="56:56" x14ac:dyDescent="0.25">
      <c r="BD147" t="s">
        <v>1145</v>
      </c>
    </row>
    <row r="148" spans="56:56" x14ac:dyDescent="0.25">
      <c r="BD148" t="s">
        <v>1149</v>
      </c>
    </row>
    <row r="149" spans="56:56" x14ac:dyDescent="0.25">
      <c r="BD149" t="s">
        <v>1145</v>
      </c>
    </row>
    <row r="150" spans="56:56" x14ac:dyDescent="0.25">
      <c r="BD150" t="s">
        <v>1200</v>
      </c>
    </row>
    <row r="151" spans="56:56" x14ac:dyDescent="0.25">
      <c r="BD151" t="s">
        <v>1378</v>
      </c>
    </row>
    <row r="152" spans="56:56" x14ac:dyDescent="0.25">
      <c r="BD152" t="s">
        <v>1378</v>
      </c>
    </row>
    <row r="153" spans="56:56" x14ac:dyDescent="0.25">
      <c r="BD153" t="s">
        <v>1378</v>
      </c>
    </row>
    <row r="154" spans="56:56" x14ac:dyDescent="0.25">
      <c r="BD154" t="s">
        <v>1151</v>
      </c>
    </row>
    <row r="155" spans="56:56" x14ac:dyDescent="0.25">
      <c r="BD155" t="s">
        <v>1200</v>
      </c>
    </row>
  </sheetData>
  <sortState xmlns:xlrd2="http://schemas.microsoft.com/office/spreadsheetml/2017/richdata2" ref="BO62:BO90">
    <sortCondition ref="BO62:BO90"/>
  </sortState>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D49AB-E2F5-42FE-9F73-DAD159139827}">
  <dimension ref="A1:BQ72"/>
  <sheetViews>
    <sheetView workbookViewId="0">
      <pane xSplit="5" ySplit="2" topLeftCell="L51" activePane="bottomRight" state="frozen"/>
      <selection pane="topRight" activeCell="B1" sqref="B1"/>
      <selection pane="bottomLeft" activeCell="A3" sqref="A3"/>
      <selection pane="bottomRight" activeCell="Q56" sqref="Q56"/>
    </sheetView>
  </sheetViews>
  <sheetFormatPr defaultRowHeight="15" x14ac:dyDescent="0.25"/>
  <cols>
    <col min="1" max="1" width="16.7109375" style="67" bestFit="1" customWidth="1"/>
    <col min="2" max="2" width="7" style="67" customWidth="1"/>
    <col min="3" max="3" width="6.42578125" style="67" customWidth="1"/>
    <col min="4" max="4" width="10.28515625" style="67" customWidth="1"/>
    <col min="5" max="5" width="24.140625" style="67" customWidth="1"/>
    <col min="6" max="6" width="11.140625" style="67" customWidth="1"/>
    <col min="7" max="7" width="12.28515625" bestFit="1" customWidth="1"/>
    <col min="8" max="8" width="13.7109375" bestFit="1" customWidth="1"/>
    <col min="9" max="9" width="16" bestFit="1" customWidth="1"/>
    <col min="10" max="10" width="10.140625" bestFit="1" customWidth="1"/>
    <col min="11" max="11" width="18.28515625" bestFit="1" customWidth="1"/>
    <col min="12" max="12" width="16.5703125" style="154" bestFit="1" customWidth="1"/>
    <col min="13" max="13" width="18.28515625" bestFit="1" customWidth="1"/>
    <col min="14" max="14" width="12.28515625" bestFit="1" customWidth="1"/>
    <col min="15" max="15" width="16.140625" bestFit="1" customWidth="1"/>
    <col min="16" max="16" width="10.42578125" bestFit="1" customWidth="1"/>
    <col min="17" max="17" width="13.28515625" bestFit="1" customWidth="1"/>
    <col min="18" max="18" width="8.42578125" bestFit="1" customWidth="1"/>
    <col min="19" max="19" width="9.140625" bestFit="1" customWidth="1"/>
    <col min="29" max="29" width="9.140625" style="154"/>
    <col min="42" max="42" width="9.140625" style="154"/>
    <col min="43" max="43" width="15.85546875" bestFit="1" customWidth="1"/>
    <col min="44" max="44" width="18.28515625" bestFit="1" customWidth="1"/>
    <col min="45" max="45" width="4.85546875" bestFit="1" customWidth="1"/>
    <col min="46" max="46" width="9.28515625" bestFit="1" customWidth="1"/>
    <col min="47" max="47" width="10.5703125" bestFit="1" customWidth="1"/>
    <col min="48" max="49" width="11.42578125" bestFit="1" customWidth="1"/>
    <col min="50" max="50" width="18.42578125" bestFit="1" customWidth="1"/>
    <col min="51" max="51" width="4.85546875" bestFit="1" customWidth="1"/>
    <col min="52" max="52" width="16.140625" bestFit="1" customWidth="1"/>
    <col min="53" max="53" width="12.5703125" bestFit="1" customWidth="1"/>
    <col min="54" max="54" width="13.85546875" bestFit="1" customWidth="1"/>
    <col min="55" max="55" width="12.42578125" bestFit="1" customWidth="1"/>
    <col min="56" max="56" width="12.85546875" bestFit="1" customWidth="1"/>
    <col min="58" max="58" width="10.140625" bestFit="1" customWidth="1"/>
    <col min="59" max="59" width="15.140625" bestFit="1" customWidth="1"/>
    <col min="60" max="60" width="6.5703125" bestFit="1" customWidth="1"/>
    <col min="61" max="61" width="13.140625" bestFit="1" customWidth="1"/>
    <col min="62" max="62" width="11.140625" bestFit="1" customWidth="1"/>
    <col min="63" max="63" width="8.7109375" bestFit="1" customWidth="1"/>
    <col min="64" max="64" width="11" bestFit="1" customWidth="1"/>
    <col min="65" max="65" width="10.42578125" bestFit="1" customWidth="1"/>
    <col min="66" max="66" width="10.85546875" bestFit="1" customWidth="1"/>
    <col min="67" max="67" width="9.28515625" bestFit="1" customWidth="1"/>
    <col min="68" max="68" width="14.85546875" style="154" bestFit="1" customWidth="1"/>
  </cols>
  <sheetData>
    <row r="1" spans="1:69" x14ac:dyDescent="0.25">
      <c r="C1" s="67">
        <f>COUNTIF(C2:C1000, "Y")</f>
        <v>39</v>
      </c>
      <c r="F1" s="169" t="s">
        <v>1640</v>
      </c>
      <c r="G1" s="169"/>
      <c r="H1" s="169"/>
      <c r="I1" s="169"/>
      <c r="J1" s="169"/>
      <c r="K1" s="169"/>
      <c r="L1" s="169"/>
      <c r="M1" s="169" t="s">
        <v>1641</v>
      </c>
      <c r="N1" s="169"/>
      <c r="O1" s="169"/>
      <c r="P1" s="169"/>
      <c r="Q1" s="169"/>
      <c r="R1" s="169"/>
      <c r="AD1" s="170" t="s">
        <v>1642</v>
      </c>
      <c r="AE1" s="169"/>
      <c r="AF1" s="169"/>
      <c r="AG1" s="169"/>
      <c r="AH1" s="169"/>
      <c r="AI1" s="169"/>
      <c r="AJ1" s="169"/>
      <c r="AK1" s="169"/>
      <c r="AL1" s="169"/>
      <c r="AM1" s="169"/>
      <c r="AN1" s="169"/>
      <c r="AO1" s="169"/>
      <c r="AP1" s="171"/>
      <c r="AQ1" s="169" t="s">
        <v>1643</v>
      </c>
      <c r="AR1" s="169"/>
      <c r="AS1" s="169"/>
      <c r="AT1" s="169"/>
      <c r="AU1" s="169"/>
      <c r="AV1" s="169"/>
      <c r="AW1" s="169"/>
      <c r="AX1" s="169"/>
      <c r="AY1" s="169"/>
      <c r="AZ1" s="169"/>
      <c r="BA1" s="169"/>
      <c r="BB1" s="169"/>
      <c r="BC1" s="169"/>
      <c r="BD1" s="169"/>
      <c r="BE1" s="169"/>
      <c r="BF1" s="169"/>
      <c r="BG1" s="169"/>
      <c r="BH1" s="169"/>
      <c r="BI1" s="169"/>
      <c r="BJ1" s="169"/>
      <c r="BK1" s="169"/>
      <c r="BL1" s="169"/>
      <c r="BM1" s="169"/>
      <c r="BN1" s="169"/>
      <c r="BO1" s="169"/>
      <c r="BP1" s="169"/>
      <c r="BQ1" t="s">
        <v>1644</v>
      </c>
    </row>
    <row r="2" spans="1:69" x14ac:dyDescent="0.25">
      <c r="A2" s="67" t="s">
        <v>2</v>
      </c>
      <c r="B2" s="67" t="s">
        <v>3</v>
      </c>
      <c r="C2" s="67" t="s">
        <v>4</v>
      </c>
      <c r="D2" s="67" t="s">
        <v>5</v>
      </c>
      <c r="E2" s="67" t="s">
        <v>6</v>
      </c>
      <c r="F2" s="67" t="s">
        <v>1645</v>
      </c>
      <c r="G2" t="s">
        <v>1646</v>
      </c>
      <c r="H2" t="s">
        <v>1647</v>
      </c>
      <c r="I2" t="s">
        <v>1648</v>
      </c>
      <c r="J2" t="s">
        <v>1649</v>
      </c>
      <c r="K2" t="s">
        <v>1650</v>
      </c>
      <c r="L2" s="154" t="s">
        <v>1651</v>
      </c>
      <c r="M2" t="s">
        <v>1652</v>
      </c>
      <c r="N2" t="s">
        <v>1653</v>
      </c>
      <c r="O2" t="s">
        <v>1654</v>
      </c>
      <c r="P2" t="s">
        <v>1655</v>
      </c>
      <c r="Q2" t="s">
        <v>1656</v>
      </c>
      <c r="R2" t="s">
        <v>1657</v>
      </c>
      <c r="S2" t="s">
        <v>1658</v>
      </c>
      <c r="T2" t="s">
        <v>1659</v>
      </c>
      <c r="U2" t="s">
        <v>1660</v>
      </c>
      <c r="V2" t="s">
        <v>4060</v>
      </c>
      <c r="W2" t="s">
        <v>4077</v>
      </c>
      <c r="X2" t="s">
        <v>4098</v>
      </c>
      <c r="Y2" t="s">
        <v>4151</v>
      </c>
      <c r="Z2" t="s">
        <v>4180</v>
      </c>
      <c r="AA2" t="s">
        <v>4193</v>
      </c>
      <c r="AD2" t="s">
        <v>1661</v>
      </c>
      <c r="AE2" t="s">
        <v>1662</v>
      </c>
      <c r="AF2" t="s">
        <v>1663</v>
      </c>
      <c r="AG2" s="95" t="s">
        <v>1664</v>
      </c>
      <c r="AH2" t="s">
        <v>1665</v>
      </c>
      <c r="AI2" t="s">
        <v>1666</v>
      </c>
      <c r="AJ2" t="s">
        <v>1667</v>
      </c>
      <c r="AK2" t="s">
        <v>1668</v>
      </c>
      <c r="AL2" t="s">
        <v>1669</v>
      </c>
      <c r="AM2" t="s">
        <v>1670</v>
      </c>
      <c r="AN2" t="s">
        <v>1671</v>
      </c>
      <c r="AO2" t="s">
        <v>1672</v>
      </c>
      <c r="AP2" s="154" t="s">
        <v>1673</v>
      </c>
      <c r="AQ2" s="1" t="s">
        <v>1674</v>
      </c>
      <c r="AR2" s="1" t="s">
        <v>1675</v>
      </c>
      <c r="AS2" s="1" t="s">
        <v>1676</v>
      </c>
      <c r="AT2" s="1" t="s">
        <v>1677</v>
      </c>
      <c r="AU2" t="s">
        <v>1678</v>
      </c>
      <c r="AV2" t="s">
        <v>1679</v>
      </c>
      <c r="AW2" t="s">
        <v>1680</v>
      </c>
      <c r="AX2" s="1" t="s">
        <v>1681</v>
      </c>
      <c r="AY2" t="s">
        <v>1682</v>
      </c>
      <c r="AZ2" t="s">
        <v>1683</v>
      </c>
      <c r="BA2" t="s">
        <v>1684</v>
      </c>
      <c r="BB2" t="s">
        <v>1685</v>
      </c>
      <c r="BC2" t="s">
        <v>1686</v>
      </c>
      <c r="BD2" t="s">
        <v>1687</v>
      </c>
      <c r="BE2" s="1" t="s">
        <v>1688</v>
      </c>
      <c r="BF2" t="s">
        <v>1689</v>
      </c>
      <c r="BG2" s="1" t="s">
        <v>1690</v>
      </c>
      <c r="BH2" s="1" t="s">
        <v>1691</v>
      </c>
      <c r="BI2" t="s">
        <v>1692</v>
      </c>
      <c r="BJ2" s="1" t="s">
        <v>1693</v>
      </c>
      <c r="BK2" t="s">
        <v>1694</v>
      </c>
      <c r="BL2" s="1" t="s">
        <v>1695</v>
      </c>
      <c r="BM2" t="s">
        <v>1696</v>
      </c>
      <c r="BN2" t="s">
        <v>1697</v>
      </c>
      <c r="BO2" s="1" t="s">
        <v>1698</v>
      </c>
      <c r="BP2" s="154" t="s">
        <v>1699</v>
      </c>
    </row>
    <row r="3" spans="1:69" x14ac:dyDescent="0.25">
      <c r="A3" s="67" t="s">
        <v>23</v>
      </c>
      <c r="B3" s="67">
        <v>5</v>
      </c>
      <c r="C3" s="67" t="s">
        <v>24</v>
      </c>
      <c r="D3" s="67" t="s">
        <v>25</v>
      </c>
      <c r="E3" s="67" t="s">
        <v>26</v>
      </c>
      <c r="G3" s="67" t="s">
        <v>1700</v>
      </c>
      <c r="S3" s="67" t="s">
        <v>1700</v>
      </c>
      <c r="BC3" t="s">
        <v>1701</v>
      </c>
    </row>
    <row r="4" spans="1:69" x14ac:dyDescent="0.25">
      <c r="A4" s="67" t="s">
        <v>23</v>
      </c>
      <c r="B4" s="67">
        <v>1</v>
      </c>
      <c r="D4" s="67" t="s">
        <v>28</v>
      </c>
      <c r="E4" s="67" t="s">
        <v>29</v>
      </c>
      <c r="AU4" t="s">
        <v>1701</v>
      </c>
    </row>
    <row r="5" spans="1:69" x14ac:dyDescent="0.25">
      <c r="A5" s="67" t="s">
        <v>23</v>
      </c>
      <c r="B5" s="67">
        <v>2</v>
      </c>
      <c r="C5" s="142" t="s">
        <v>31</v>
      </c>
      <c r="D5" s="67" t="s">
        <v>25</v>
      </c>
      <c r="E5" s="67" t="s">
        <v>32</v>
      </c>
      <c r="AD5" s="95"/>
    </row>
    <row r="6" spans="1:69" x14ac:dyDescent="0.25">
      <c r="A6" s="67" t="s">
        <v>23</v>
      </c>
      <c r="B6" s="67">
        <v>2</v>
      </c>
      <c r="C6" s="67" t="s">
        <v>31</v>
      </c>
      <c r="D6" s="67" t="s">
        <v>28</v>
      </c>
      <c r="E6" s="67" t="s">
        <v>35</v>
      </c>
      <c r="G6" s="67" t="s">
        <v>1700</v>
      </c>
      <c r="S6" s="67" t="s">
        <v>1700</v>
      </c>
      <c r="AD6" s="95"/>
      <c r="AU6" t="s">
        <v>1701</v>
      </c>
    </row>
    <row r="7" spans="1:69" x14ac:dyDescent="0.25">
      <c r="A7" s="67" t="s">
        <v>23</v>
      </c>
      <c r="B7" s="67">
        <v>5</v>
      </c>
      <c r="C7" s="142" t="s">
        <v>38</v>
      </c>
      <c r="D7" s="67" t="s">
        <v>25</v>
      </c>
      <c r="E7" s="67" t="s">
        <v>39</v>
      </c>
    </row>
    <row r="8" spans="1:69" x14ac:dyDescent="0.25">
      <c r="A8" s="67" t="s">
        <v>23</v>
      </c>
      <c r="B8" s="67">
        <v>7</v>
      </c>
      <c r="C8" s="67" t="s">
        <v>28</v>
      </c>
      <c r="D8" s="67" t="s">
        <v>25</v>
      </c>
      <c r="E8" s="67" t="s">
        <v>42</v>
      </c>
      <c r="G8" s="67" t="s">
        <v>4</v>
      </c>
      <c r="AD8" s="95"/>
    </row>
    <row r="9" spans="1:69" x14ac:dyDescent="0.25">
      <c r="A9" s="67" t="s">
        <v>23</v>
      </c>
      <c r="B9" s="67">
        <v>7</v>
      </c>
      <c r="D9" s="67" t="s">
        <v>25</v>
      </c>
      <c r="E9" s="67" t="s">
        <v>45</v>
      </c>
    </row>
    <row r="10" spans="1:69" x14ac:dyDescent="0.25">
      <c r="A10" s="67" t="s">
        <v>23</v>
      </c>
      <c r="B10" s="67">
        <v>4</v>
      </c>
      <c r="C10" s="67" t="s">
        <v>28</v>
      </c>
      <c r="D10" s="67" t="s">
        <v>28</v>
      </c>
      <c r="E10" s="67" t="s">
        <v>47</v>
      </c>
      <c r="G10" s="67" t="s">
        <v>4</v>
      </c>
      <c r="AU10" t="s">
        <v>1701</v>
      </c>
      <c r="BO10" t="s">
        <v>1702</v>
      </c>
    </row>
    <row r="11" spans="1:69" x14ac:dyDescent="0.25">
      <c r="A11" s="67" t="s">
        <v>23</v>
      </c>
      <c r="B11" s="67">
        <v>6</v>
      </c>
      <c r="C11" s="67" t="s">
        <v>24</v>
      </c>
      <c r="D11" s="67" t="s">
        <v>28</v>
      </c>
      <c r="E11" s="67" t="s">
        <v>49</v>
      </c>
      <c r="G11" s="67" t="s">
        <v>1700</v>
      </c>
      <c r="S11" s="67" t="s">
        <v>1700</v>
      </c>
      <c r="AU11" t="s">
        <v>1701</v>
      </c>
    </row>
    <row r="12" spans="1:69" x14ac:dyDescent="0.25">
      <c r="A12" s="67" t="s">
        <v>23</v>
      </c>
      <c r="B12" s="67">
        <v>8</v>
      </c>
      <c r="C12" s="67" t="s">
        <v>28</v>
      </c>
      <c r="D12" s="67" t="s">
        <v>25</v>
      </c>
      <c r="E12" s="67" t="s">
        <v>51</v>
      </c>
      <c r="G12" s="67" t="s">
        <v>4</v>
      </c>
      <c r="AW12" t="s">
        <v>1703</v>
      </c>
      <c r="BC12" t="s">
        <v>1701</v>
      </c>
      <c r="BE12" t="s">
        <v>1704</v>
      </c>
    </row>
    <row r="13" spans="1:69" x14ac:dyDescent="0.25">
      <c r="A13" s="67" t="s">
        <v>23</v>
      </c>
      <c r="B13" s="67">
        <v>8</v>
      </c>
      <c r="C13" s="67" t="s">
        <v>28</v>
      </c>
      <c r="D13" s="67" t="s">
        <v>28</v>
      </c>
      <c r="E13" s="67" t="s">
        <v>53</v>
      </c>
      <c r="F13" s="67" t="s">
        <v>1705</v>
      </c>
      <c r="G13" s="67" t="s">
        <v>4</v>
      </c>
      <c r="AU13" t="s">
        <v>1701</v>
      </c>
    </row>
    <row r="14" spans="1:69" x14ac:dyDescent="0.25">
      <c r="A14" s="67" t="s">
        <v>23</v>
      </c>
      <c r="B14" s="67">
        <v>9</v>
      </c>
      <c r="C14" s="67" t="s">
        <v>24</v>
      </c>
      <c r="D14" s="67" t="s">
        <v>25</v>
      </c>
      <c r="E14" s="67" t="s">
        <v>55</v>
      </c>
      <c r="F14" s="67" t="s">
        <v>1706</v>
      </c>
      <c r="G14" s="67" t="s">
        <v>1700</v>
      </c>
      <c r="S14" s="67" t="s">
        <v>1700</v>
      </c>
      <c r="BK14" t="s">
        <v>1707</v>
      </c>
    </row>
    <row r="15" spans="1:69" x14ac:dyDescent="0.25">
      <c r="A15" s="67" t="s">
        <v>57</v>
      </c>
      <c r="C15" s="67" t="s">
        <v>25</v>
      </c>
      <c r="D15" s="67" t="s">
        <v>58</v>
      </c>
      <c r="E15" s="67" t="s">
        <v>59</v>
      </c>
    </row>
    <row r="16" spans="1:69" x14ac:dyDescent="0.25">
      <c r="A16" s="67" t="s">
        <v>57</v>
      </c>
      <c r="C16" s="67" t="s">
        <v>25</v>
      </c>
      <c r="D16" s="67" t="s">
        <v>58</v>
      </c>
      <c r="E16" s="67" t="s">
        <v>61</v>
      </c>
    </row>
    <row r="17" spans="1:59" x14ac:dyDescent="0.25">
      <c r="A17" s="67" t="s">
        <v>23</v>
      </c>
      <c r="B17" s="67">
        <v>8</v>
      </c>
      <c r="D17" s="67" t="s">
        <v>25</v>
      </c>
      <c r="E17" s="67" t="s">
        <v>63</v>
      </c>
    </row>
    <row r="18" spans="1:59" x14ac:dyDescent="0.25">
      <c r="A18" s="67" t="s">
        <v>23</v>
      </c>
      <c r="B18" s="67">
        <v>3</v>
      </c>
      <c r="C18" s="67" t="s">
        <v>24</v>
      </c>
      <c r="D18" s="67" t="s">
        <v>25</v>
      </c>
      <c r="E18" s="67" t="s">
        <v>65</v>
      </c>
      <c r="G18" s="67" t="s">
        <v>1700</v>
      </c>
      <c r="M18" t="s">
        <v>4153</v>
      </c>
      <c r="S18" s="67" t="s">
        <v>1700</v>
      </c>
      <c r="T18" t="s">
        <v>4179</v>
      </c>
      <c r="Y18" t="s">
        <v>4152</v>
      </c>
      <c r="Z18" t="s">
        <v>4181</v>
      </c>
    </row>
    <row r="19" spans="1:59" x14ac:dyDescent="0.25">
      <c r="A19" s="67" t="s">
        <v>57</v>
      </c>
      <c r="C19" s="67" t="s">
        <v>25</v>
      </c>
      <c r="D19" s="67" t="s">
        <v>58</v>
      </c>
      <c r="E19" s="67" t="s">
        <v>67</v>
      </c>
    </row>
    <row r="20" spans="1:59" x14ac:dyDescent="0.25">
      <c r="A20" s="67" t="s">
        <v>57</v>
      </c>
      <c r="C20" s="67" t="s">
        <v>25</v>
      </c>
      <c r="D20" s="67" t="s">
        <v>58</v>
      </c>
      <c r="E20" s="67" t="s">
        <v>69</v>
      </c>
    </row>
    <row r="21" spans="1:59" x14ac:dyDescent="0.25">
      <c r="A21" s="67" t="s">
        <v>23</v>
      </c>
      <c r="B21" s="67" t="s">
        <v>71</v>
      </c>
      <c r="C21" s="67" t="s">
        <v>28</v>
      </c>
      <c r="D21" s="67" t="s">
        <v>25</v>
      </c>
      <c r="E21" s="67" t="s">
        <v>72</v>
      </c>
      <c r="G21" s="67" t="s">
        <v>4</v>
      </c>
    </row>
    <row r="22" spans="1:59" x14ac:dyDescent="0.25">
      <c r="A22" s="67" t="s">
        <v>23</v>
      </c>
      <c r="B22" s="67">
        <v>7</v>
      </c>
      <c r="C22" s="67" t="s">
        <v>28</v>
      </c>
      <c r="D22" s="67" t="s">
        <v>28</v>
      </c>
      <c r="E22" s="67" t="s">
        <v>74</v>
      </c>
      <c r="G22" s="67" t="s">
        <v>4</v>
      </c>
      <c r="AU22" t="s">
        <v>1701</v>
      </c>
      <c r="BD22" t="s">
        <v>1708</v>
      </c>
    </row>
    <row r="23" spans="1:59" x14ac:dyDescent="0.25">
      <c r="A23" s="67" t="s">
        <v>23</v>
      </c>
      <c r="B23" s="67">
        <v>11</v>
      </c>
      <c r="C23" s="67" t="s">
        <v>28</v>
      </c>
      <c r="D23" s="67" t="s">
        <v>25</v>
      </c>
      <c r="E23" s="67" t="s">
        <v>76</v>
      </c>
      <c r="G23" s="67" t="s">
        <v>4</v>
      </c>
    </row>
    <row r="24" spans="1:59" x14ac:dyDescent="0.25">
      <c r="A24" s="67" t="s">
        <v>23</v>
      </c>
      <c r="B24" s="67">
        <v>7</v>
      </c>
      <c r="C24" s="67" t="s">
        <v>24</v>
      </c>
      <c r="D24" s="67" t="s">
        <v>25</v>
      </c>
      <c r="E24" s="67" t="s">
        <v>78</v>
      </c>
      <c r="G24" s="67" t="s">
        <v>1700</v>
      </c>
      <c r="S24" s="67" t="s">
        <v>1700</v>
      </c>
    </row>
    <row r="25" spans="1:59" x14ac:dyDescent="0.25">
      <c r="A25" s="67" t="s">
        <v>23</v>
      </c>
      <c r="B25" s="67">
        <v>8</v>
      </c>
      <c r="C25" s="67" t="s">
        <v>28</v>
      </c>
      <c r="D25" s="67" t="s">
        <v>25</v>
      </c>
      <c r="E25" s="67" t="s">
        <v>80</v>
      </c>
      <c r="G25" s="67" t="s">
        <v>4</v>
      </c>
    </row>
    <row r="26" spans="1:59" x14ac:dyDescent="0.25">
      <c r="A26" s="67" t="s">
        <v>57</v>
      </c>
      <c r="C26" s="67" t="s">
        <v>25</v>
      </c>
      <c r="D26" s="67" t="s">
        <v>58</v>
      </c>
      <c r="E26" s="67" t="s">
        <v>82</v>
      </c>
    </row>
    <row r="27" spans="1:59" x14ac:dyDescent="0.25">
      <c r="A27" s="67" t="s">
        <v>23</v>
      </c>
      <c r="B27" s="67">
        <v>7</v>
      </c>
      <c r="C27" s="67" t="s">
        <v>28</v>
      </c>
      <c r="D27" s="67" t="s">
        <v>28</v>
      </c>
      <c r="E27" s="67" t="s">
        <v>84</v>
      </c>
      <c r="G27" s="67" t="s">
        <v>4</v>
      </c>
      <c r="AU27" t="s">
        <v>1701</v>
      </c>
    </row>
    <row r="28" spans="1:59" x14ac:dyDescent="0.25">
      <c r="A28" s="67" t="s">
        <v>23</v>
      </c>
      <c r="B28" s="67">
        <v>7</v>
      </c>
      <c r="C28" s="67" t="s">
        <v>28</v>
      </c>
      <c r="D28" s="67" t="s">
        <v>86</v>
      </c>
      <c r="E28" s="67" t="s">
        <v>87</v>
      </c>
      <c r="G28" s="67" t="s">
        <v>4</v>
      </c>
    </row>
    <row r="29" spans="1:59" x14ac:dyDescent="0.25">
      <c r="A29" s="67" t="s">
        <v>23</v>
      </c>
      <c r="B29" s="67">
        <v>10</v>
      </c>
      <c r="C29" s="67" t="s">
        <v>89</v>
      </c>
      <c r="D29" s="67" t="s">
        <v>25</v>
      </c>
      <c r="E29" s="67" t="s">
        <v>90</v>
      </c>
      <c r="G29" s="67" t="s">
        <v>89</v>
      </c>
    </row>
    <row r="30" spans="1:59" x14ac:dyDescent="0.25">
      <c r="A30" s="67" t="s">
        <v>23</v>
      </c>
      <c r="B30" s="67">
        <v>11</v>
      </c>
      <c r="C30" s="67" t="s">
        <v>28</v>
      </c>
      <c r="D30" s="67" t="s">
        <v>28</v>
      </c>
      <c r="E30" s="67" t="s">
        <v>92</v>
      </c>
      <c r="G30" s="67" t="s">
        <v>4</v>
      </c>
      <c r="AU30" t="s">
        <v>1701</v>
      </c>
    </row>
    <row r="31" spans="1:59" x14ac:dyDescent="0.25">
      <c r="A31" s="67" t="s">
        <v>23</v>
      </c>
      <c r="B31" s="67">
        <v>9</v>
      </c>
      <c r="C31" s="67" t="s">
        <v>28</v>
      </c>
      <c r="D31" s="67" t="s">
        <v>25</v>
      </c>
      <c r="E31" s="67" t="s">
        <v>94</v>
      </c>
      <c r="G31" s="67" t="s">
        <v>4</v>
      </c>
      <c r="BG31" t="s">
        <v>1709</v>
      </c>
    </row>
    <row r="32" spans="1:59" x14ac:dyDescent="0.25">
      <c r="A32" s="67" t="s">
        <v>23</v>
      </c>
      <c r="B32" s="67">
        <v>8</v>
      </c>
      <c r="C32" s="67" t="s">
        <v>28</v>
      </c>
      <c r="D32" s="67" t="s">
        <v>25</v>
      </c>
      <c r="E32" s="67" t="s">
        <v>96</v>
      </c>
      <c r="G32" s="67" t="s">
        <v>4</v>
      </c>
      <c r="I32" t="s">
        <v>1710</v>
      </c>
    </row>
    <row r="33" spans="1:69" x14ac:dyDescent="0.25">
      <c r="A33" s="67" t="s">
        <v>23</v>
      </c>
      <c r="B33" s="67">
        <v>10</v>
      </c>
      <c r="C33" s="67" t="s">
        <v>89</v>
      </c>
      <c r="E33" s="67" t="s">
        <v>98</v>
      </c>
      <c r="G33" s="67" t="s">
        <v>89</v>
      </c>
    </row>
    <row r="34" spans="1:69" x14ac:dyDescent="0.25">
      <c r="A34" s="67" t="s">
        <v>23</v>
      </c>
      <c r="B34" s="67" t="s">
        <v>100</v>
      </c>
      <c r="C34" s="67" t="s">
        <v>28</v>
      </c>
      <c r="D34" s="67" t="s">
        <v>28</v>
      </c>
      <c r="E34" s="67" t="s">
        <v>101</v>
      </c>
      <c r="G34" s="67" t="s">
        <v>4</v>
      </c>
      <c r="AU34" t="s">
        <v>1701</v>
      </c>
    </row>
    <row r="35" spans="1:69" x14ac:dyDescent="0.25">
      <c r="A35" s="67" t="s">
        <v>23</v>
      </c>
      <c r="B35" s="67">
        <v>11</v>
      </c>
      <c r="C35" s="67" t="s">
        <v>28</v>
      </c>
      <c r="E35" s="67" t="s">
        <v>103</v>
      </c>
      <c r="G35" s="67" t="s">
        <v>4</v>
      </c>
    </row>
    <row r="36" spans="1:69" x14ac:dyDescent="0.25">
      <c r="A36" s="67" t="s">
        <v>23</v>
      </c>
      <c r="B36" s="67">
        <v>7</v>
      </c>
      <c r="C36" s="67" t="s">
        <v>86</v>
      </c>
      <c r="E36" s="67" t="s">
        <v>105</v>
      </c>
      <c r="G36" s="67"/>
    </row>
    <row r="37" spans="1:69" x14ac:dyDescent="0.25">
      <c r="A37" s="67" t="s">
        <v>23</v>
      </c>
      <c r="B37" s="67">
        <v>12</v>
      </c>
      <c r="C37" s="67" t="s">
        <v>28</v>
      </c>
      <c r="E37" s="67" t="s">
        <v>107</v>
      </c>
      <c r="G37" s="67" t="s">
        <v>4</v>
      </c>
      <c r="H37" t="s">
        <v>4001</v>
      </c>
    </row>
    <row r="38" spans="1:69" x14ac:dyDescent="0.25">
      <c r="A38" s="67" t="s">
        <v>23</v>
      </c>
      <c r="B38" s="67">
        <v>8</v>
      </c>
      <c r="C38" s="67" t="s">
        <v>28</v>
      </c>
      <c r="E38" s="67" t="s">
        <v>109</v>
      </c>
      <c r="G38" s="67" t="s">
        <v>4</v>
      </c>
      <c r="Q38" t="s">
        <v>1711</v>
      </c>
      <c r="BO38" t="s">
        <v>1702</v>
      </c>
    </row>
    <row r="39" spans="1:69" x14ac:dyDescent="0.25">
      <c r="A39" s="67" t="s">
        <v>57</v>
      </c>
      <c r="C39" s="67" t="s">
        <v>25</v>
      </c>
      <c r="D39" s="67" t="s">
        <v>58</v>
      </c>
      <c r="E39" s="67" t="s">
        <v>125</v>
      </c>
    </row>
    <row r="40" spans="1:69" x14ac:dyDescent="0.25">
      <c r="A40" s="67" t="s">
        <v>23</v>
      </c>
      <c r="B40" s="67">
        <v>4</v>
      </c>
      <c r="C40" s="67" t="s">
        <v>86</v>
      </c>
      <c r="D40" s="67" t="s">
        <v>86</v>
      </c>
      <c r="E40" s="67" t="s">
        <v>127</v>
      </c>
    </row>
    <row r="41" spans="1:69" x14ac:dyDescent="0.25">
      <c r="A41" s="67" t="s">
        <v>57</v>
      </c>
      <c r="C41" s="67" t="s">
        <v>25</v>
      </c>
      <c r="E41" s="67" t="s">
        <v>128</v>
      </c>
    </row>
    <row r="42" spans="1:69" x14ac:dyDescent="0.25">
      <c r="A42" s="67" t="s">
        <v>23</v>
      </c>
      <c r="B42" s="67">
        <v>11</v>
      </c>
      <c r="C42" s="67" t="s">
        <v>28</v>
      </c>
      <c r="E42" s="67" t="s">
        <v>113</v>
      </c>
      <c r="G42" s="67" t="s">
        <v>4</v>
      </c>
      <c r="BE42" t="s">
        <v>1704</v>
      </c>
      <c r="BQ42" t="s">
        <v>1712</v>
      </c>
    </row>
    <row r="43" spans="1:69" x14ac:dyDescent="0.25">
      <c r="A43" s="67" t="s">
        <v>23</v>
      </c>
      <c r="B43" s="67">
        <v>8</v>
      </c>
      <c r="C43" s="67" t="s">
        <v>28</v>
      </c>
      <c r="E43" s="67" t="s">
        <v>111</v>
      </c>
      <c r="G43" s="67" t="s">
        <v>4</v>
      </c>
      <c r="I43" t="s">
        <v>1710</v>
      </c>
      <c r="BE43" t="s">
        <v>1704</v>
      </c>
    </row>
    <row r="44" spans="1:69" x14ac:dyDescent="0.25">
      <c r="A44" s="67" t="s">
        <v>23</v>
      </c>
      <c r="B44" s="67">
        <v>12</v>
      </c>
      <c r="C44" s="67" t="s">
        <v>28</v>
      </c>
      <c r="E44" s="67" t="s">
        <v>130</v>
      </c>
      <c r="G44" s="67" t="s">
        <v>4</v>
      </c>
      <c r="AE44" t="s">
        <v>1713</v>
      </c>
      <c r="AH44" t="s">
        <v>1714</v>
      </c>
      <c r="BQ44" t="s">
        <v>1715</v>
      </c>
    </row>
    <row r="45" spans="1:69" x14ac:dyDescent="0.25">
      <c r="A45" s="67" t="s">
        <v>23</v>
      </c>
      <c r="B45" s="67" t="s">
        <v>122</v>
      </c>
      <c r="C45" s="67" t="s">
        <v>28</v>
      </c>
      <c r="E45" s="67" t="s">
        <v>123</v>
      </c>
      <c r="F45" s="67" t="s">
        <v>1716</v>
      </c>
      <c r="G45" s="67" t="s">
        <v>4</v>
      </c>
      <c r="H45" s="67" t="s">
        <v>1717</v>
      </c>
      <c r="J45" s="67" t="s">
        <v>1718</v>
      </c>
      <c r="BD45" t="s">
        <v>1708</v>
      </c>
      <c r="BK45" t="s">
        <v>1719</v>
      </c>
    </row>
    <row r="46" spans="1:69" x14ac:dyDescent="0.25">
      <c r="A46" s="67" t="s">
        <v>23</v>
      </c>
      <c r="B46" s="67">
        <v>8</v>
      </c>
      <c r="C46" s="67" t="s">
        <v>28</v>
      </c>
      <c r="E46" s="67" t="s">
        <v>140</v>
      </c>
      <c r="G46" s="67" t="s">
        <v>4</v>
      </c>
      <c r="W46" t="s">
        <v>4078</v>
      </c>
      <c r="AW46" t="s">
        <v>1703</v>
      </c>
    </row>
    <row r="47" spans="1:69" x14ac:dyDescent="0.25">
      <c r="A47" s="67" t="s">
        <v>23</v>
      </c>
      <c r="B47" s="67">
        <v>11</v>
      </c>
      <c r="C47" s="67" t="s">
        <v>28</v>
      </c>
      <c r="E47" s="67" t="s">
        <v>132</v>
      </c>
      <c r="G47" s="67" t="s">
        <v>4</v>
      </c>
      <c r="Q47" t="s">
        <v>4042</v>
      </c>
    </row>
    <row r="48" spans="1:69" x14ac:dyDescent="0.25">
      <c r="A48" s="67" t="s">
        <v>23</v>
      </c>
      <c r="B48" s="67">
        <v>8</v>
      </c>
      <c r="C48" s="67" t="s">
        <v>28</v>
      </c>
      <c r="E48" s="67" t="s">
        <v>136</v>
      </c>
      <c r="G48" s="67" t="s">
        <v>4</v>
      </c>
      <c r="H48" t="s">
        <v>1720</v>
      </c>
      <c r="AS48" t="s">
        <v>4013</v>
      </c>
    </row>
    <row r="49" spans="1:67" x14ac:dyDescent="0.25">
      <c r="A49" s="67" t="s">
        <v>23</v>
      </c>
      <c r="B49" s="67">
        <v>12</v>
      </c>
      <c r="C49" s="67" t="s">
        <v>28</v>
      </c>
      <c r="E49" s="67" t="s">
        <v>142</v>
      </c>
      <c r="G49" s="67" t="s">
        <v>4</v>
      </c>
    </row>
    <row r="50" spans="1:67" x14ac:dyDescent="0.25">
      <c r="A50" s="67" t="s">
        <v>23</v>
      </c>
      <c r="B50" s="67">
        <v>11</v>
      </c>
      <c r="C50" s="67" t="s">
        <v>28</v>
      </c>
      <c r="E50" s="67" t="s">
        <v>115</v>
      </c>
      <c r="F50" s="67" t="s">
        <v>1716</v>
      </c>
      <c r="G50" s="67" t="s">
        <v>4</v>
      </c>
      <c r="Q50" t="s">
        <v>1711</v>
      </c>
      <c r="AE50" t="s">
        <v>1721</v>
      </c>
      <c r="AT50" t="s">
        <v>1722</v>
      </c>
      <c r="AX50" t="s">
        <v>1723</v>
      </c>
      <c r="BO50" t="s">
        <v>1702</v>
      </c>
    </row>
    <row r="51" spans="1:67" x14ac:dyDescent="0.25">
      <c r="A51" s="67" t="s">
        <v>23</v>
      </c>
      <c r="B51" s="67">
        <v>10</v>
      </c>
      <c r="C51" s="67" t="s">
        <v>28</v>
      </c>
      <c r="E51" s="67" t="s">
        <v>146</v>
      </c>
      <c r="G51" s="67" t="s">
        <v>4</v>
      </c>
      <c r="I51" s="67" t="s">
        <v>1716</v>
      </c>
      <c r="L51" s="154" t="s">
        <v>4049</v>
      </c>
      <c r="V51" t="s">
        <v>4059</v>
      </c>
      <c r="AW51" t="s">
        <v>1703</v>
      </c>
    </row>
    <row r="52" spans="1:67" x14ac:dyDescent="0.25">
      <c r="A52" s="67" t="s">
        <v>23</v>
      </c>
      <c r="B52" s="67">
        <v>11</v>
      </c>
      <c r="C52" s="67" t="s">
        <v>28</v>
      </c>
      <c r="E52" s="67" t="s">
        <v>134</v>
      </c>
      <c r="G52" s="67" t="s">
        <v>4</v>
      </c>
      <c r="H52" t="s">
        <v>4001</v>
      </c>
    </row>
    <row r="53" spans="1:67" x14ac:dyDescent="0.25">
      <c r="A53" s="67" t="s">
        <v>23</v>
      </c>
      <c r="B53" s="67">
        <v>7</v>
      </c>
      <c r="C53" s="67" t="s">
        <v>28</v>
      </c>
      <c r="E53" s="67" t="s">
        <v>144</v>
      </c>
      <c r="G53" s="67" t="s">
        <v>4</v>
      </c>
      <c r="AA53" t="s">
        <v>4192</v>
      </c>
    </row>
    <row r="54" spans="1:67" x14ac:dyDescent="0.25">
      <c r="A54" s="67" t="s">
        <v>23</v>
      </c>
      <c r="B54" s="67" t="s">
        <v>1724</v>
      </c>
      <c r="C54" s="67" t="s">
        <v>1725</v>
      </c>
      <c r="E54" s="67" t="s">
        <v>120</v>
      </c>
      <c r="G54" s="67" t="s">
        <v>1726</v>
      </c>
      <c r="H54" s="67" t="s">
        <v>1727</v>
      </c>
      <c r="T54" s="67" t="s">
        <v>1728</v>
      </c>
      <c r="U54" s="67" t="s">
        <v>1729</v>
      </c>
      <c r="BC54" t="s">
        <v>1730</v>
      </c>
      <c r="BH54" t="s">
        <v>1731</v>
      </c>
    </row>
    <row r="55" spans="1:67" x14ac:dyDescent="0.25">
      <c r="A55" s="67" t="s">
        <v>23</v>
      </c>
      <c r="B55" s="67">
        <v>10</v>
      </c>
      <c r="C55" s="67" t="s">
        <v>28</v>
      </c>
      <c r="E55" s="67" t="s">
        <v>152</v>
      </c>
      <c r="G55" s="67" t="s">
        <v>4</v>
      </c>
      <c r="H55" t="s">
        <v>4161</v>
      </c>
      <c r="X55" t="s">
        <v>4099</v>
      </c>
      <c r="AU55" t="s">
        <v>4158</v>
      </c>
      <c r="AV55" t="s">
        <v>4160</v>
      </c>
    </row>
    <row r="56" spans="1:67" x14ac:dyDescent="0.25">
      <c r="A56" s="67" t="s">
        <v>23</v>
      </c>
      <c r="B56" s="67" t="s">
        <v>1732</v>
      </c>
      <c r="C56" s="67" t="s">
        <v>28</v>
      </c>
      <c r="E56" s="67" t="s">
        <v>162</v>
      </c>
      <c r="F56" s="67" t="s">
        <v>1716</v>
      </c>
      <c r="G56" s="67" t="s">
        <v>4</v>
      </c>
      <c r="L56" s="154" t="s">
        <v>4190</v>
      </c>
      <c r="Q56" t="s">
        <v>4200</v>
      </c>
    </row>
    <row r="57" spans="1:67" x14ac:dyDescent="0.25">
      <c r="A57" s="67" t="s">
        <v>23</v>
      </c>
      <c r="B57" s="67">
        <v>11</v>
      </c>
      <c r="C57" s="67" t="s">
        <v>28</v>
      </c>
      <c r="E57" s="67" t="s">
        <v>158</v>
      </c>
      <c r="G57" s="67" t="s">
        <v>4</v>
      </c>
      <c r="J57" t="s">
        <v>4093</v>
      </c>
    </row>
    <row r="58" spans="1:67" x14ac:dyDescent="0.25">
      <c r="A58" s="67" t="s">
        <v>23</v>
      </c>
      <c r="C58" s="67" t="s">
        <v>28</v>
      </c>
      <c r="E58" s="67" t="s">
        <v>156</v>
      </c>
      <c r="G58" s="67" t="s">
        <v>4</v>
      </c>
    </row>
    <row r="59" spans="1:67" x14ac:dyDescent="0.25">
      <c r="A59" s="67" t="s">
        <v>23</v>
      </c>
      <c r="C59" s="67" t="s">
        <v>28</v>
      </c>
      <c r="E59" s="67" t="s">
        <v>154</v>
      </c>
      <c r="G59" s="67" t="s">
        <v>4</v>
      </c>
    </row>
    <row r="60" spans="1:67" x14ac:dyDescent="0.25">
      <c r="A60" s="67" t="s">
        <v>23</v>
      </c>
      <c r="C60" s="67" t="s">
        <v>28</v>
      </c>
      <c r="E60" s="67" t="s">
        <v>117</v>
      </c>
      <c r="F60" s="67" t="s">
        <v>1716</v>
      </c>
      <c r="G60" s="67" t="s">
        <v>4</v>
      </c>
      <c r="AW60" t="s">
        <v>1703</v>
      </c>
    </row>
    <row r="61" spans="1:67" x14ac:dyDescent="0.25">
      <c r="A61" s="67" t="s">
        <v>23</v>
      </c>
      <c r="C61" s="67" t="s">
        <v>28</v>
      </c>
      <c r="E61" s="67" t="s">
        <v>164</v>
      </c>
    </row>
    <row r="62" spans="1:67" x14ac:dyDescent="0.25">
      <c r="A62" s="67" t="s">
        <v>23</v>
      </c>
      <c r="B62" s="67">
        <v>5</v>
      </c>
      <c r="C62" s="67" t="s">
        <v>28</v>
      </c>
      <c r="E62" s="67" t="s">
        <v>148</v>
      </c>
      <c r="G62" s="67" t="s">
        <v>4</v>
      </c>
      <c r="Q62" t="s">
        <v>1733</v>
      </c>
    </row>
    <row r="63" spans="1:67" x14ac:dyDescent="0.25">
      <c r="A63" s="67" t="s">
        <v>168</v>
      </c>
      <c r="B63" s="67" t="s">
        <v>169</v>
      </c>
      <c r="E63" s="67" t="s">
        <v>170</v>
      </c>
    </row>
    <row r="64" spans="1:67" x14ac:dyDescent="0.25">
      <c r="A64" s="67" t="s">
        <v>23</v>
      </c>
      <c r="E64" s="67" t="s">
        <v>172</v>
      </c>
    </row>
    <row r="65" spans="1:62" x14ac:dyDescent="0.25">
      <c r="A65" s="67" t="s">
        <v>23</v>
      </c>
      <c r="E65" s="67" t="s">
        <v>174</v>
      </c>
    </row>
    <row r="66" spans="1:62" x14ac:dyDescent="0.25">
      <c r="A66" s="67" t="s">
        <v>23</v>
      </c>
      <c r="E66" s="67" t="s">
        <v>166</v>
      </c>
    </row>
    <row r="67" spans="1:62" x14ac:dyDescent="0.25">
      <c r="A67" s="67" t="s">
        <v>23</v>
      </c>
      <c r="B67" s="67" t="s">
        <v>1724</v>
      </c>
      <c r="E67" s="67" t="s">
        <v>150</v>
      </c>
    </row>
    <row r="68" spans="1:62" x14ac:dyDescent="0.25">
      <c r="A68" s="67" t="s">
        <v>23</v>
      </c>
      <c r="B68" s="67" t="s">
        <v>1734</v>
      </c>
      <c r="C68" s="67" t="s">
        <v>28</v>
      </c>
      <c r="E68" s="67" t="s">
        <v>138</v>
      </c>
      <c r="G68" s="67" t="s">
        <v>4</v>
      </c>
      <c r="BE68" t="s">
        <v>1704</v>
      </c>
      <c r="BJ68" t="s">
        <v>4106</v>
      </c>
    </row>
    <row r="69" spans="1:62" x14ac:dyDescent="0.25">
      <c r="A69" s="67" t="s">
        <v>23</v>
      </c>
      <c r="B69" s="67" t="s">
        <v>1732</v>
      </c>
      <c r="E69" s="67" t="s">
        <v>176</v>
      </c>
    </row>
    <row r="70" spans="1:62" x14ac:dyDescent="0.25">
      <c r="A70" s="67" t="s">
        <v>23</v>
      </c>
      <c r="E70" s="67" t="s">
        <v>178</v>
      </c>
    </row>
    <row r="71" spans="1:62" x14ac:dyDescent="0.25">
      <c r="A71" s="67" t="s">
        <v>23</v>
      </c>
      <c r="E71" s="67" t="s">
        <v>185</v>
      </c>
    </row>
    <row r="72" spans="1:62" x14ac:dyDescent="0.25">
      <c r="A72" s="67" t="s">
        <v>23</v>
      </c>
      <c r="B72" s="67" t="s">
        <v>4008</v>
      </c>
      <c r="C72" s="67" t="s">
        <v>28</v>
      </c>
      <c r="E72" s="67" t="s">
        <v>160</v>
      </c>
      <c r="G72" s="67" t="s">
        <v>4</v>
      </c>
    </row>
  </sheetData>
  <autoFilter ref="A2:AC2" xr:uid="{00000000-0001-0000-0000-000000000000}">
    <sortState xmlns:xlrd2="http://schemas.microsoft.com/office/spreadsheetml/2017/richdata2" ref="A3:AC100">
      <sortCondition descending="1" ref="T2"/>
    </sortState>
  </autoFilter>
  <mergeCells count="4">
    <mergeCell ref="F1:L1"/>
    <mergeCell ref="M1:R1"/>
    <mergeCell ref="AD1:AP1"/>
    <mergeCell ref="AQ1:BP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77330-57E1-4D42-A098-2189CE02401A}">
  <dimension ref="A2:AB49"/>
  <sheetViews>
    <sheetView topLeftCell="I9" workbookViewId="0">
      <selection activeCell="K18" sqref="K18"/>
    </sheetView>
  </sheetViews>
  <sheetFormatPr defaultRowHeight="15" x14ac:dyDescent="0.25"/>
  <cols>
    <col min="1" max="3" width="10" style="67" bestFit="1" customWidth="1"/>
    <col min="4" max="4" width="10" style="67" customWidth="1"/>
    <col min="5" max="5" width="22.7109375" bestFit="1" customWidth="1"/>
    <col min="7" max="7" width="15.42578125" bestFit="1" customWidth="1"/>
    <col min="9" max="9" width="52.42578125" bestFit="1" customWidth="1"/>
    <col min="10" max="10" width="16" customWidth="1"/>
    <col min="12" max="14" width="10.140625" bestFit="1" customWidth="1"/>
    <col min="15" max="15" width="15.28515625" bestFit="1" customWidth="1"/>
    <col min="16" max="16" width="23.28515625" bestFit="1" customWidth="1"/>
    <col min="18" max="18" width="12.42578125" bestFit="1" customWidth="1"/>
    <col min="22" max="24" width="10.140625" bestFit="1" customWidth="1"/>
    <col min="25" max="25" width="26.5703125" bestFit="1" customWidth="1"/>
  </cols>
  <sheetData>
    <row r="2" spans="1:28" ht="15" customHeight="1" x14ac:dyDescent="0.25">
      <c r="E2" s="1" t="s">
        <v>3815</v>
      </c>
      <c r="F2" s="1"/>
      <c r="G2" s="1"/>
      <c r="H2" s="1"/>
      <c r="I2" s="1"/>
      <c r="J2" s="1"/>
      <c r="L2" s="67"/>
      <c r="M2" s="67"/>
      <c r="N2" s="67"/>
      <c r="O2" s="1" t="s">
        <v>3816</v>
      </c>
      <c r="P2" s="1"/>
      <c r="Q2" s="1"/>
      <c r="R2" s="1"/>
      <c r="S2" s="1"/>
      <c r="T2" s="1"/>
      <c r="Y2" s="1" t="s">
        <v>3817</v>
      </c>
      <c r="AA2" s="1" t="s">
        <v>4129</v>
      </c>
    </row>
    <row r="3" spans="1:28" x14ac:dyDescent="0.25">
      <c r="A3" s="160" t="s">
        <v>3818</v>
      </c>
      <c r="B3" s="160" t="s">
        <v>3819</v>
      </c>
      <c r="C3" s="160" t="s">
        <v>3820</v>
      </c>
      <c r="D3" s="160" t="s">
        <v>4128</v>
      </c>
      <c r="E3" s="159" t="s">
        <v>6</v>
      </c>
      <c r="F3" s="159" t="s">
        <v>3821</v>
      </c>
      <c r="G3" s="159" t="s">
        <v>3822</v>
      </c>
      <c r="H3" s="159" t="s">
        <v>3823</v>
      </c>
      <c r="I3" s="159" t="s">
        <v>3824</v>
      </c>
      <c r="J3" s="159" t="s">
        <v>4016</v>
      </c>
      <c r="L3" s="160" t="s">
        <v>3818</v>
      </c>
      <c r="M3" s="160" t="s">
        <v>3819</v>
      </c>
      <c r="N3" s="160" t="s">
        <v>3820</v>
      </c>
      <c r="O3" s="159" t="s">
        <v>6</v>
      </c>
      <c r="P3" s="159" t="s">
        <v>3825</v>
      </c>
      <c r="Q3" s="159" t="s">
        <v>532</v>
      </c>
      <c r="R3" s="159" t="s">
        <v>3826</v>
      </c>
      <c r="S3" s="159" t="s">
        <v>3823</v>
      </c>
      <c r="T3" s="159" t="s">
        <v>3821</v>
      </c>
      <c r="V3" s="160" t="s">
        <v>3818</v>
      </c>
      <c r="W3" s="160" t="s">
        <v>3819</v>
      </c>
      <c r="X3" s="160" t="s">
        <v>3820</v>
      </c>
      <c r="Y3" s="159" t="s">
        <v>6</v>
      </c>
      <c r="AA3" s="159" t="s">
        <v>4131</v>
      </c>
      <c r="AB3" s="159" t="s">
        <v>4130</v>
      </c>
    </row>
    <row r="4" spans="1:28" x14ac:dyDescent="0.25">
      <c r="A4" s="67">
        <f>COUNTIF([0]!UNCOMMON,E4&amp;" +1"&amp;"*")</f>
        <v>0</v>
      </c>
      <c r="B4" s="67">
        <f>COUNTIF([0]!RARE,E4&amp;" +2"&amp;"*")</f>
        <v>0</v>
      </c>
      <c r="C4" s="67">
        <f>COUNTIF(Items_By_Rarity!VERYRARE,E4&amp;" +3"&amp;"*")</f>
        <v>0</v>
      </c>
      <c r="D4" s="67">
        <f>COUNTIF([0]!RARE, "Vicious*(" &amp; E4 &amp; ")*")</f>
        <v>0</v>
      </c>
      <c r="E4" t="s">
        <v>3827</v>
      </c>
      <c r="F4" t="s">
        <v>3828</v>
      </c>
      <c r="G4" t="s">
        <v>3829</v>
      </c>
      <c r="H4" t="s">
        <v>3830</v>
      </c>
      <c r="I4" t="s">
        <v>3831</v>
      </c>
      <c r="J4" t="s">
        <v>4017</v>
      </c>
      <c r="L4" s="67">
        <f>COUNTIF([0]!RARE,O4&amp;" +1"&amp;"*")</f>
        <v>0</v>
      </c>
      <c r="M4" s="67">
        <f>COUNTIF(Items_By_Rarity!VERYRARE,O4&amp;" +2"&amp;"*")</f>
        <v>0</v>
      </c>
      <c r="N4" s="67">
        <f>COUNTIF([0]!LEGENDARY,O4&amp;" +3"&amp;"*")</f>
        <v>0</v>
      </c>
      <c r="O4" t="s">
        <v>3832</v>
      </c>
      <c r="P4" t="s">
        <v>3833</v>
      </c>
      <c r="Q4" t="s">
        <v>58</v>
      </c>
      <c r="R4" t="s">
        <v>3834</v>
      </c>
      <c r="S4" t="s">
        <v>3835</v>
      </c>
      <c r="T4" t="s">
        <v>3836</v>
      </c>
      <c r="V4" s="67">
        <f>COUNTIF([0]!UNCOMMON,Y4&amp;" +1"&amp;"*")</f>
        <v>0</v>
      </c>
      <c r="W4" s="67">
        <f>COUNTIF([0]!RARE,Y4&amp;" +2"&amp;"*")</f>
        <v>1</v>
      </c>
      <c r="X4" s="67">
        <f>COUNTIF(Items_By_Rarity!VERYRARE,Y4&amp;" +3"&amp;"*")</f>
        <v>4</v>
      </c>
      <c r="Y4" t="s">
        <v>3837</v>
      </c>
      <c r="AA4">
        <f>COUNTIF([0]!RARE, "Ring of Resistance*" &amp; AB4 &amp; "*")</f>
        <v>6</v>
      </c>
      <c r="AB4" t="s">
        <v>4132</v>
      </c>
    </row>
    <row r="5" spans="1:28" x14ac:dyDescent="0.25">
      <c r="A5" s="67">
        <f>COUNTIF([0]!UNCOMMON,E5&amp;" +1"&amp;"*")</f>
        <v>3</v>
      </c>
      <c r="B5" s="67">
        <f>COUNTIF([0]!RARE,E5&amp;" +2"&amp;"*")</f>
        <v>2</v>
      </c>
      <c r="C5" s="67">
        <f>COUNTIF(Items_By_Rarity!VERYRARE,E5&amp;" +3"&amp;"*")</f>
        <v>0</v>
      </c>
      <c r="D5" s="67">
        <f>COUNTIF([0]!RARE, "Vicious*(" &amp; E5 &amp; ")*")</f>
        <v>0</v>
      </c>
      <c r="E5" t="s">
        <v>3838</v>
      </c>
      <c r="F5" t="s">
        <v>3839</v>
      </c>
      <c r="G5" t="s">
        <v>3840</v>
      </c>
      <c r="H5" t="s">
        <v>3841</v>
      </c>
      <c r="I5" t="s">
        <v>3842</v>
      </c>
      <c r="J5" t="s">
        <v>4018</v>
      </c>
      <c r="L5" s="67">
        <f>COUNTIF([0]!RARE,O5&amp;" +1"&amp;"*")</f>
        <v>0</v>
      </c>
      <c r="M5" s="67">
        <f>COUNTIF(Items_By_Rarity!VERYRARE,O5&amp;" +2"&amp;"*")</f>
        <v>0</v>
      </c>
      <c r="N5" s="67">
        <f>COUNTIF([0]!LEGENDARY,O5&amp;" +3"&amp;"*")</f>
        <v>0</v>
      </c>
      <c r="O5" t="s">
        <v>3843</v>
      </c>
      <c r="P5" t="s">
        <v>3833</v>
      </c>
      <c r="Q5" t="s">
        <v>58</v>
      </c>
      <c r="R5" t="s">
        <v>58</v>
      </c>
      <c r="S5" t="s">
        <v>3844</v>
      </c>
      <c r="T5" t="s">
        <v>3845</v>
      </c>
      <c r="V5" s="67">
        <f>COUNTIF([0]!UNCOMMON,Y5&amp;" +1"&amp;"*")</f>
        <v>1</v>
      </c>
      <c r="W5" s="67">
        <f>COUNTIF([0]!RARE,Y5&amp;" +2"&amp;"*")</f>
        <v>4</v>
      </c>
      <c r="X5" s="67">
        <f>COUNTIF(Items_By_Rarity!VERYRARE,Y5&amp;" +3"&amp;"*")</f>
        <v>2</v>
      </c>
      <c r="Y5" t="s">
        <v>3846</v>
      </c>
      <c r="AA5">
        <f>COUNTIF([0]!RARE, "Ring of Resistance*" &amp; AB5 &amp; "*")</f>
        <v>2</v>
      </c>
      <c r="AB5" t="s">
        <v>4133</v>
      </c>
    </row>
    <row r="6" spans="1:28" x14ac:dyDescent="0.25">
      <c r="A6" s="67">
        <f>COUNTIF([0]!UNCOMMON,E6&amp;" +1"&amp;"*")</f>
        <v>0</v>
      </c>
      <c r="B6" s="67">
        <f>COUNTIF([0]!RARE,E6&amp;" +2"&amp;"*")</f>
        <v>0</v>
      </c>
      <c r="C6" s="67">
        <f>COUNTIF(Items_By_Rarity!VERYRARE,E6&amp;" +3"&amp;"*")</f>
        <v>0</v>
      </c>
      <c r="D6" s="67">
        <f>COUNTIF([0]!RARE, "Vicious*(" &amp; E6 &amp; ")*")</f>
        <v>0</v>
      </c>
      <c r="E6" t="s">
        <v>3847</v>
      </c>
      <c r="F6" t="s">
        <v>3848</v>
      </c>
      <c r="G6" t="s">
        <v>3849</v>
      </c>
      <c r="H6" t="s">
        <v>3844</v>
      </c>
      <c r="I6" t="s">
        <v>3850</v>
      </c>
      <c r="J6" t="s">
        <v>4019</v>
      </c>
      <c r="L6" s="67">
        <f>COUNTIF([0]!RARE,O6&amp;" +1"&amp;"*")</f>
        <v>14</v>
      </c>
      <c r="M6" s="67">
        <f>COUNTIF(Items_By_Rarity!VERYRARE,O6&amp;" +2"&amp;"*")</f>
        <v>17</v>
      </c>
      <c r="N6" s="67">
        <f>COUNTIF([0]!LEGENDARY,O6&amp;" +3"&amp;"*")</f>
        <v>3</v>
      </c>
      <c r="O6" t="s">
        <v>3851</v>
      </c>
      <c r="P6" t="s">
        <v>3852</v>
      </c>
      <c r="Q6" t="s">
        <v>58</v>
      </c>
      <c r="R6" t="s">
        <v>58</v>
      </c>
      <c r="S6" t="s">
        <v>3853</v>
      </c>
      <c r="T6" t="s">
        <v>3854</v>
      </c>
      <c r="V6" s="67">
        <f>COUNTIF([0]!UNCOMMON,Y6&amp;" +1"&amp;"*")</f>
        <v>0</v>
      </c>
      <c r="W6" s="67">
        <f>COUNTIF([0]!RARE,Y6&amp;" +2"&amp;"*")</f>
        <v>2</v>
      </c>
      <c r="X6" s="67">
        <f>COUNTIF(Items_By_Rarity!VERYRARE,Y6&amp;" +3"&amp;"*")</f>
        <v>3</v>
      </c>
      <c r="Y6" t="s">
        <v>3855</v>
      </c>
      <c r="AA6">
        <f>COUNTIF([0]!RARE, "Ring of Resistance*" &amp; AB6 &amp; "*")</f>
        <v>7</v>
      </c>
      <c r="AB6" t="s">
        <v>4134</v>
      </c>
    </row>
    <row r="7" spans="1:28" x14ac:dyDescent="0.25">
      <c r="A7" s="67">
        <f>COUNTIF([0]!UNCOMMON,E7&amp;" +1"&amp;"*")</f>
        <v>1</v>
      </c>
      <c r="B7" s="67">
        <f>COUNTIF([0]!RARE,E7&amp;" +2"&amp;"*")</f>
        <v>0</v>
      </c>
      <c r="C7" s="67">
        <f>COUNTIF(Items_By_Rarity!VERYRARE,E7&amp;" +3"&amp;"*")</f>
        <v>0</v>
      </c>
      <c r="D7" s="67">
        <f>COUNTIF([0]!RARE, "Vicious*(" &amp; E7 &amp; ")*")</f>
        <v>0</v>
      </c>
      <c r="E7" t="s">
        <v>3856</v>
      </c>
      <c r="F7" t="s">
        <v>3836</v>
      </c>
      <c r="G7" t="s">
        <v>3857</v>
      </c>
      <c r="H7" t="s">
        <v>3830</v>
      </c>
      <c r="I7" t="s">
        <v>3858</v>
      </c>
      <c r="J7" t="s">
        <v>4020</v>
      </c>
      <c r="L7" s="67">
        <f>COUNTIF([0]!RARE,M7&amp;"*")</f>
        <v>5</v>
      </c>
      <c r="M7" t="s">
        <v>3859</v>
      </c>
      <c r="V7" s="67">
        <f>COUNTIF([0]!UNCOMMON,Y7&amp;" +1"&amp;"*")</f>
        <v>4</v>
      </c>
      <c r="W7" s="67">
        <f>COUNTIF([0]!RARE,Y7&amp;" +2"&amp;"*")</f>
        <v>6</v>
      </c>
      <c r="X7" s="67">
        <f>COUNTIF(Items_By_Rarity!VERYRARE,Y7&amp;" +3"&amp;"*")</f>
        <v>2</v>
      </c>
      <c r="Y7" t="s">
        <v>3860</v>
      </c>
      <c r="AA7">
        <f>COUNTIF([0]!RARE, "Ring of Resistance*" &amp; AB7 &amp; "*")</f>
        <v>3</v>
      </c>
      <c r="AB7" t="s">
        <v>4135</v>
      </c>
    </row>
    <row r="8" spans="1:28" x14ac:dyDescent="0.25">
      <c r="A8" s="67">
        <f>COUNTIF([0]!UNCOMMON,E8&amp;" +1"&amp;"*")</f>
        <v>0</v>
      </c>
      <c r="B8" s="67">
        <f>COUNTIF([0]!RARE,E8&amp;" +2"&amp;"*")</f>
        <v>2</v>
      </c>
      <c r="C8" s="67">
        <f>COUNTIF(Items_By_Rarity!VERYRARE,E8&amp;" +3"&amp;"*")</f>
        <v>0</v>
      </c>
      <c r="D8" s="67">
        <f>COUNTIF([0]!RARE, "Vicious*(" &amp; E8 &amp; ")*")</f>
        <v>0</v>
      </c>
      <c r="E8" t="s">
        <v>3861</v>
      </c>
      <c r="F8" t="s">
        <v>3862</v>
      </c>
      <c r="G8" t="s">
        <v>3863</v>
      </c>
      <c r="H8" t="s">
        <v>3830</v>
      </c>
      <c r="I8" t="s">
        <v>3864</v>
      </c>
      <c r="J8" t="s">
        <v>4017</v>
      </c>
      <c r="V8" s="67">
        <f>COUNTIF([0]!UNCOMMON,Y8&amp;" +1"&amp;"*")</f>
        <v>1</v>
      </c>
      <c r="W8" s="67">
        <f>COUNTIF([0]!RARE,Y8&amp;" +2"&amp;"*")</f>
        <v>2</v>
      </c>
      <c r="X8" s="67">
        <f>COUNTIF(Items_By_Rarity!VERYRARE,Y8&amp;" +3"&amp;"*")</f>
        <v>2</v>
      </c>
      <c r="Y8" t="s">
        <v>3865</v>
      </c>
      <c r="AA8">
        <f>COUNTIF([0]!RARE, "Ring of Resistance*" &amp; AB8 &amp; "*")</f>
        <v>0</v>
      </c>
      <c r="AB8" t="s">
        <v>4136</v>
      </c>
    </row>
    <row r="9" spans="1:28" x14ac:dyDescent="0.25">
      <c r="A9" s="67">
        <f>COUNTIF([0]!UNCOMMON,E9&amp;" +1"&amp;"*")</f>
        <v>0</v>
      </c>
      <c r="B9" s="67">
        <f>COUNTIF([0]!RARE,E9&amp;" +2"&amp;"*")</f>
        <v>0</v>
      </c>
      <c r="C9" s="67">
        <f>COUNTIF(Items_By_Rarity!VERYRARE,E9&amp;" +3"&amp;"*")</f>
        <v>0</v>
      </c>
      <c r="D9" s="67">
        <f>COUNTIF([0]!RARE, "Vicious*(" &amp; E9 &amp; ")*")</f>
        <v>0</v>
      </c>
      <c r="E9" t="s">
        <v>3866</v>
      </c>
      <c r="F9" t="s">
        <v>3839</v>
      </c>
      <c r="G9" t="s">
        <v>3829</v>
      </c>
      <c r="H9" t="s">
        <v>3830</v>
      </c>
      <c r="I9" t="s">
        <v>3858</v>
      </c>
      <c r="J9" t="s">
        <v>4018</v>
      </c>
      <c r="O9" s="1" t="s">
        <v>3867</v>
      </c>
      <c r="P9" s="1"/>
      <c r="Q9" s="1"/>
      <c r="R9" s="1"/>
      <c r="S9" s="1"/>
      <c r="T9" s="1"/>
      <c r="V9" s="67">
        <f>COUNTIF([0]!UNCOMMON,Y9&amp;" +1"&amp;"*")</f>
        <v>2</v>
      </c>
      <c r="W9" s="67">
        <f>COUNTIF([0]!RARE,Y9&amp;" +2"&amp;"*")</f>
        <v>1</v>
      </c>
      <c r="X9" s="67">
        <f>COUNTIF(Items_By_Rarity!VERYRARE,Y9&amp;" +3"&amp;"*")</f>
        <v>3</v>
      </c>
      <c r="Y9" t="s">
        <v>3868</v>
      </c>
      <c r="AA9">
        <f>COUNTIF([0]!RARE, "Ring of Resistance*" &amp; AB9 &amp; "*")</f>
        <v>0</v>
      </c>
      <c r="AB9" t="s">
        <v>4137</v>
      </c>
    </row>
    <row r="10" spans="1:28" x14ac:dyDescent="0.25">
      <c r="A10" s="67">
        <f>COUNTIF([0]!UNCOMMON,E10&amp;" +1"&amp;"*")</f>
        <v>0</v>
      </c>
      <c r="B10" s="67">
        <f>COUNTIF([0]!RARE,E10&amp;" +2"&amp;"*")</f>
        <v>2</v>
      </c>
      <c r="C10" s="67">
        <f>COUNTIF(Items_By_Rarity!VERYRARE,E10&amp;" +3"&amp;"*")</f>
        <v>0</v>
      </c>
      <c r="D10" s="67">
        <f>COUNTIF([0]!RARE, "Vicious*(" &amp; E10 &amp; ")*")</f>
        <v>0</v>
      </c>
      <c r="E10" t="s">
        <v>3869</v>
      </c>
      <c r="F10" t="s">
        <v>3836</v>
      </c>
      <c r="G10" t="s">
        <v>3870</v>
      </c>
      <c r="H10" t="s">
        <v>3871</v>
      </c>
      <c r="I10" t="s">
        <v>3872</v>
      </c>
      <c r="J10" t="s">
        <v>4021</v>
      </c>
      <c r="O10" s="159" t="s">
        <v>6</v>
      </c>
      <c r="P10" s="159" t="s">
        <v>3825</v>
      </c>
      <c r="Q10" s="159" t="s">
        <v>532</v>
      </c>
      <c r="R10" s="159" t="s">
        <v>3826</v>
      </c>
      <c r="S10" s="159" t="s">
        <v>3823</v>
      </c>
      <c r="T10" s="159" t="s">
        <v>3821</v>
      </c>
      <c r="V10" s="67">
        <f>COUNTIF([0]!UNCOMMON,Y10&amp;" +1"&amp;"*")</f>
        <v>3</v>
      </c>
      <c r="W10" s="67">
        <f>COUNTIF([0]!RARE,Y10&amp;" +2"&amp;"*")</f>
        <v>8</v>
      </c>
      <c r="X10" s="67">
        <f>COUNTIF(Items_By_Rarity!VERYRARE,Y10&amp;" +3"&amp;"*")</f>
        <v>7</v>
      </c>
      <c r="Y10" t="s">
        <v>3873</v>
      </c>
      <c r="AA10">
        <f>COUNTIF([0]!RARE, "Ring of Resistance*" &amp; AB10 &amp; "*")</f>
        <v>0</v>
      </c>
      <c r="AB10" t="s">
        <v>4138</v>
      </c>
    </row>
    <row r="11" spans="1:28" x14ac:dyDescent="0.25">
      <c r="A11" s="67">
        <f>COUNTIF([0]!UNCOMMON,E11&amp;" +1"&amp;"*")</f>
        <v>3</v>
      </c>
      <c r="B11" s="67">
        <f>COUNTIF([0]!RARE,E11&amp;" +2"&amp;"*")</f>
        <v>1</v>
      </c>
      <c r="C11" s="67">
        <f>COUNTIF(Items_By_Rarity!VERYRARE,E11&amp;" +3"&amp;"*")</f>
        <v>2</v>
      </c>
      <c r="D11" s="67">
        <f>COUNTIF([0]!RARE, "Vicious*(" &amp; E11 &amp; ")*")</f>
        <v>0</v>
      </c>
      <c r="E11" t="s">
        <v>3874</v>
      </c>
      <c r="F11" t="s">
        <v>3848</v>
      </c>
      <c r="G11" t="s">
        <v>3870</v>
      </c>
      <c r="H11" t="s">
        <v>3871</v>
      </c>
      <c r="I11" t="s">
        <v>3875</v>
      </c>
      <c r="J11" t="s">
        <v>4022</v>
      </c>
      <c r="L11" s="67">
        <f>COUNTIF([0]!RARE,O11&amp;" +1"&amp;"*")</f>
        <v>0</v>
      </c>
      <c r="M11" s="67">
        <f>COUNTIF(Items_By_Rarity!VERYRARE,O11&amp;" +2"&amp;"*")</f>
        <v>0</v>
      </c>
      <c r="N11" s="67">
        <f>COUNTIF([0]!LEGENDARY,O11&amp;" +3"&amp;"*")</f>
        <v>0</v>
      </c>
      <c r="O11" t="s">
        <v>3876</v>
      </c>
      <c r="P11" t="s">
        <v>3877</v>
      </c>
      <c r="Q11" t="s">
        <v>58</v>
      </c>
      <c r="R11" t="s">
        <v>58</v>
      </c>
      <c r="S11" t="s">
        <v>3878</v>
      </c>
      <c r="T11" t="s">
        <v>3845</v>
      </c>
      <c r="V11" s="67">
        <f>COUNTIF([0]!UNCOMMON,Y11&amp;" +1"&amp;"*")</f>
        <v>0</v>
      </c>
      <c r="W11" s="67">
        <f>COUNTIF([0]!RARE,Y11&amp;" +2"&amp;"*")</f>
        <v>2</v>
      </c>
      <c r="X11" s="67">
        <f>COUNTIF(Items_By_Rarity!VERYRARE,Y11&amp;" +3"&amp;"*")</f>
        <v>5</v>
      </c>
      <c r="Y11" t="s">
        <v>3879</v>
      </c>
      <c r="AA11">
        <f>COUNTIF([0]!RARE, "Ring of Resistance*" &amp; AB11 &amp; "*")</f>
        <v>1</v>
      </c>
      <c r="AB11" t="s">
        <v>4139</v>
      </c>
    </row>
    <row r="12" spans="1:28" x14ac:dyDescent="0.25">
      <c r="A12" s="67">
        <f>COUNTIF([0]!UNCOMMON,E12&amp;" +1"&amp;"*")</f>
        <v>0</v>
      </c>
      <c r="B12" s="67">
        <f>COUNTIF([0]!RARE,E12&amp;" +2"&amp;"*")</f>
        <v>0</v>
      </c>
      <c r="C12" s="67">
        <f>COUNTIF(Items_By_Rarity!VERYRARE,E12&amp;" +3"&amp;"*")</f>
        <v>0</v>
      </c>
      <c r="D12" s="67">
        <f>COUNTIF([0]!RARE, "Vicious*(" &amp; E12 &amp; ")*")</f>
        <v>0</v>
      </c>
      <c r="E12" t="s">
        <v>3880</v>
      </c>
      <c r="F12" t="s">
        <v>3881</v>
      </c>
      <c r="G12" t="s">
        <v>3882</v>
      </c>
      <c r="H12" t="s">
        <v>3830</v>
      </c>
      <c r="I12" t="s">
        <v>3831</v>
      </c>
      <c r="J12" t="s">
        <v>4018</v>
      </c>
      <c r="L12" s="67">
        <f>COUNTIF([0]!RARE,O12&amp;" +1"&amp;"*")</f>
        <v>0</v>
      </c>
      <c r="M12" s="67">
        <f>COUNTIF(Items_By_Rarity!VERYRARE,O12&amp;" +2"&amp;"*")</f>
        <v>0</v>
      </c>
      <c r="N12" s="67">
        <f>COUNTIF([0]!LEGENDARY,O12&amp;" +3"&amp;"*")</f>
        <v>0</v>
      </c>
      <c r="O12" t="s">
        <v>3883</v>
      </c>
      <c r="P12" t="s">
        <v>3884</v>
      </c>
      <c r="Q12" t="s">
        <v>58</v>
      </c>
      <c r="R12" t="s">
        <v>58</v>
      </c>
      <c r="S12" t="s">
        <v>3885</v>
      </c>
      <c r="T12" t="s">
        <v>3886</v>
      </c>
      <c r="AA12">
        <f>COUNTIF([0]!RARE, "Ring of Resistance*" &amp; AB12 &amp; "*")</f>
        <v>0</v>
      </c>
      <c r="AB12" t="s">
        <v>4140</v>
      </c>
    </row>
    <row r="13" spans="1:28" x14ac:dyDescent="0.25">
      <c r="A13" s="67">
        <f>COUNTIF([0]!UNCOMMON,E13&amp;" +1"&amp;"*")</f>
        <v>0</v>
      </c>
      <c r="B13" s="67">
        <f>COUNTIF([0]!RARE,E13&amp;" +2"&amp;"*")</f>
        <v>3</v>
      </c>
      <c r="C13" s="67">
        <f>COUNTIF(Items_By_Rarity!VERYRARE,E13&amp;" +3"&amp;"*")</f>
        <v>0</v>
      </c>
      <c r="D13" s="67">
        <f>COUNTIF([0]!RARE, "Vicious*(" &amp; E13 &amp; ")*")</f>
        <v>0</v>
      </c>
      <c r="E13" t="s">
        <v>3752</v>
      </c>
      <c r="F13" t="s">
        <v>3881</v>
      </c>
      <c r="G13" t="s">
        <v>3863</v>
      </c>
      <c r="H13" t="s">
        <v>3887</v>
      </c>
      <c r="I13" t="s">
        <v>3888</v>
      </c>
      <c r="J13" t="s">
        <v>4021</v>
      </c>
      <c r="L13" s="67">
        <f>COUNTIF([0]!RARE,O13&amp;" +1"&amp;"*")</f>
        <v>1</v>
      </c>
      <c r="M13" s="67">
        <f>COUNTIF(Items_By_Rarity!VERYRARE,O13&amp;" +2"&amp;"*")</f>
        <v>0</v>
      </c>
      <c r="N13" s="67">
        <f>COUNTIF([0]!LEGENDARY,O13&amp;" +3"&amp;"*")</f>
        <v>0</v>
      </c>
      <c r="O13" t="s">
        <v>3889</v>
      </c>
      <c r="P13" t="s">
        <v>3890</v>
      </c>
      <c r="Q13" t="s">
        <v>58</v>
      </c>
      <c r="R13" t="s">
        <v>3834</v>
      </c>
      <c r="S13" t="s">
        <v>3891</v>
      </c>
      <c r="T13" t="s">
        <v>3886</v>
      </c>
      <c r="Y13" s="1" t="s">
        <v>3892</v>
      </c>
      <c r="AA13">
        <f>COUNTIF([0]!RARE, "Ring of Resistance*" &amp; AB13 &amp; "*")</f>
        <v>0</v>
      </c>
      <c r="AB13" t="s">
        <v>4141</v>
      </c>
    </row>
    <row r="14" spans="1:28" x14ac:dyDescent="0.25">
      <c r="L14" s="67">
        <f>COUNTIF([0]!RARE,O14&amp;" +1"&amp;"*")</f>
        <v>0</v>
      </c>
      <c r="M14" s="67">
        <f>COUNTIF(Items_By_Rarity!VERYRARE,O14&amp;" +2"&amp;"*")</f>
        <v>0</v>
      </c>
      <c r="N14" s="67">
        <f>COUNTIF([0]!LEGENDARY,O14&amp;" +3"&amp;"*")</f>
        <v>0</v>
      </c>
      <c r="O14" t="s">
        <v>3893</v>
      </c>
      <c r="P14" t="s">
        <v>3890</v>
      </c>
      <c r="Q14" t="s">
        <v>58</v>
      </c>
      <c r="R14" t="s">
        <v>3834</v>
      </c>
      <c r="S14" t="s">
        <v>3891</v>
      </c>
      <c r="T14" t="s">
        <v>3894</v>
      </c>
      <c r="Y14" s="159" t="s">
        <v>6</v>
      </c>
    </row>
    <row r="15" spans="1:28" x14ac:dyDescent="0.25">
      <c r="E15" s="1" t="s">
        <v>3895</v>
      </c>
      <c r="F15" s="1"/>
      <c r="G15" s="1"/>
      <c r="H15" s="1"/>
      <c r="I15" s="1"/>
      <c r="J15" s="1"/>
      <c r="L15" s="67">
        <f>COUNTIF([0]!RARE,O15&amp;" +1"&amp;"*")</f>
        <v>0</v>
      </c>
      <c r="M15" s="67">
        <f>COUNTIF(Items_By_Rarity!VERYRARE,O15&amp;" +2"&amp;"*")</f>
        <v>1</v>
      </c>
      <c r="N15" s="67">
        <f>COUNTIF([0]!LEGENDARY,O15&amp;" +3"&amp;"*")</f>
        <v>1</v>
      </c>
      <c r="O15" t="s">
        <v>3896</v>
      </c>
      <c r="P15" t="s">
        <v>3890</v>
      </c>
      <c r="Q15" t="s">
        <v>58</v>
      </c>
      <c r="R15" t="s">
        <v>58</v>
      </c>
      <c r="S15" t="s">
        <v>3885</v>
      </c>
      <c r="T15" t="s">
        <v>3897</v>
      </c>
      <c r="X15" s="67">
        <f>COUNTIF([0]!UNCOMMON,Y15&amp;"*")</f>
        <v>5</v>
      </c>
      <c r="Y15" t="s">
        <v>888</v>
      </c>
    </row>
    <row r="16" spans="1:28" x14ac:dyDescent="0.25">
      <c r="E16" s="159" t="s">
        <v>6</v>
      </c>
      <c r="F16" s="159" t="s">
        <v>3821</v>
      </c>
      <c r="G16" s="159" t="s">
        <v>3822</v>
      </c>
      <c r="H16" s="159" t="s">
        <v>3823</v>
      </c>
      <c r="I16" s="159" t="s">
        <v>3824</v>
      </c>
      <c r="J16" s="159" t="s">
        <v>4016</v>
      </c>
      <c r="L16" s="67">
        <f>COUNTIF([0]!RARE,O16&amp;" +1"&amp;"*")</f>
        <v>11</v>
      </c>
      <c r="M16" s="67">
        <f>COUNTIF(Items_By_Rarity!VERYRARE,O16&amp;" +2"&amp;"*")</f>
        <v>18</v>
      </c>
      <c r="N16" s="67">
        <f>COUNTIF([0]!LEGENDARY,O16&amp;" +3"&amp;"*")</f>
        <v>3</v>
      </c>
      <c r="O16" t="s">
        <v>3898</v>
      </c>
      <c r="P16" t="s">
        <v>3899</v>
      </c>
      <c r="Q16" t="s">
        <v>58</v>
      </c>
      <c r="R16" t="s">
        <v>3834</v>
      </c>
      <c r="S16" t="s">
        <v>3900</v>
      </c>
      <c r="T16" t="s">
        <v>3901</v>
      </c>
      <c r="X16" s="67">
        <f>COUNTIF([0]!RARE,Y16&amp;"*")</f>
        <v>7</v>
      </c>
      <c r="Y16" t="s">
        <v>625</v>
      </c>
    </row>
    <row r="17" spans="1:25" x14ac:dyDescent="0.25">
      <c r="A17" s="67">
        <f>COUNTIF([0]!UNCOMMON,E17&amp;" +1"&amp;"*")</f>
        <v>0</v>
      </c>
      <c r="B17" s="67">
        <f>COUNTIF([0]!RARE,E17&amp;" +2"&amp;"*")</f>
        <v>0</v>
      </c>
      <c r="C17" s="67">
        <f>COUNTIF(Items_By_Rarity!VERYRARE,E17&amp;" +3"&amp;"*")</f>
        <v>0</v>
      </c>
      <c r="D17" s="67">
        <f>COUNTIF([0]!RARE, "Vicious*(" &amp; E17 &amp; ")*")</f>
        <v>0</v>
      </c>
      <c r="E17" t="s">
        <v>3902</v>
      </c>
      <c r="F17" t="s">
        <v>3903</v>
      </c>
      <c r="G17" t="s">
        <v>3904</v>
      </c>
      <c r="H17" t="s">
        <v>3905</v>
      </c>
      <c r="I17" t="s">
        <v>3906</v>
      </c>
      <c r="J17" t="s">
        <v>4017</v>
      </c>
      <c r="L17" s="67">
        <f>COUNTIF([0]!RARE,M17&amp;"*")</f>
        <v>3</v>
      </c>
      <c r="M17" t="s">
        <v>643</v>
      </c>
      <c r="X17" s="67">
        <f>COUNTIF(Items_By_Rarity!VERYRARE,Y17&amp;"*")</f>
        <v>0</v>
      </c>
      <c r="Y17" t="s">
        <v>3247</v>
      </c>
    </row>
    <row r="18" spans="1:25" x14ac:dyDescent="0.25">
      <c r="A18" s="67">
        <f>COUNTIF([0]!UNCOMMON,E18&amp;" +1"&amp;"*")</f>
        <v>0</v>
      </c>
      <c r="B18" s="67">
        <f>COUNTIF([0]!RARE,E18&amp;" +2"&amp;"*")</f>
        <v>0</v>
      </c>
      <c r="C18" s="67">
        <f>COUNTIF(Items_By_Rarity!VERYRARE,E18&amp;" +3"&amp;"*")</f>
        <v>0</v>
      </c>
      <c r="D18" s="67">
        <f>COUNTIF([0]!RARE, "Vicious*(" &amp; E18 &amp; ")*")</f>
        <v>0</v>
      </c>
      <c r="E18" t="s">
        <v>3907</v>
      </c>
      <c r="F18" t="s">
        <v>3908</v>
      </c>
      <c r="G18" t="s">
        <v>3840</v>
      </c>
      <c r="H18" t="s">
        <v>3909</v>
      </c>
      <c r="I18" t="s">
        <v>3910</v>
      </c>
      <c r="J18" t="s">
        <v>4020</v>
      </c>
      <c r="L18" s="67">
        <f>COUNTIF([0]!UNCOMMON,M18&amp;"*")</f>
        <v>1</v>
      </c>
      <c r="M18" t="s">
        <v>3911</v>
      </c>
      <c r="X18" s="67">
        <f>COUNTIF(Items_By_Rarity!VERYRARE,Y18&amp;"*")</f>
        <v>2</v>
      </c>
      <c r="Y18" t="s">
        <v>421</v>
      </c>
    </row>
    <row r="19" spans="1:25" x14ac:dyDescent="0.25">
      <c r="A19" s="67">
        <f>COUNTIF([0]!UNCOMMON,E19&amp;" +1"&amp;"*")</f>
        <v>1</v>
      </c>
      <c r="B19" s="67">
        <f>COUNTIF([0]!RARE,E19&amp;" +2"&amp;"*")</f>
        <v>1</v>
      </c>
      <c r="C19" s="67">
        <f>COUNTIF(Items_By_Rarity!VERYRARE,E19&amp;" +3"&amp;"*")</f>
        <v>2</v>
      </c>
      <c r="D19" s="67">
        <f>COUNTIF([0]!RARE, "Vicious*(" &amp; E19 &amp; ")*")</f>
        <v>1</v>
      </c>
      <c r="E19" t="s">
        <v>3912</v>
      </c>
      <c r="F19" t="s">
        <v>3903</v>
      </c>
      <c r="G19" t="s">
        <v>3863</v>
      </c>
      <c r="H19" t="s">
        <v>3830</v>
      </c>
      <c r="I19" t="s">
        <v>3913</v>
      </c>
      <c r="J19" t="s">
        <v>4020</v>
      </c>
      <c r="M19" s="67">
        <f>COUNTIF(Items_By_Rarity!VERYRARE,N19)</f>
        <v>1</v>
      </c>
      <c r="N19" t="s">
        <v>4101</v>
      </c>
      <c r="X19" s="67">
        <f>COUNTIF(Items_By_Rarity!VERYRARE,Y19&amp;"*")</f>
        <v>16</v>
      </c>
      <c r="Y19" t="s">
        <v>415</v>
      </c>
    </row>
    <row r="20" spans="1:25" x14ac:dyDescent="0.25">
      <c r="A20" s="67">
        <f>COUNTIF([0]!UNCOMMON,E20&amp;" +1"&amp;"*")</f>
        <v>0</v>
      </c>
      <c r="B20" s="67">
        <f>COUNTIF([0]!RARE,E20&amp;" +2"&amp;"*")</f>
        <v>0</v>
      </c>
      <c r="C20" s="67">
        <f>COUNTIF(Items_By_Rarity!VERYRARE,E20&amp;" +3"&amp;"*")</f>
        <v>0</v>
      </c>
      <c r="D20" s="67">
        <f>COUNTIF([0]!RARE, "Vicious*(" &amp; E20 &amp; ")*")</f>
        <v>0</v>
      </c>
      <c r="E20" t="s">
        <v>3915</v>
      </c>
      <c r="F20" t="s">
        <v>3828</v>
      </c>
      <c r="G20" t="s">
        <v>3840</v>
      </c>
      <c r="H20" t="s">
        <v>3872</v>
      </c>
      <c r="I20" t="s">
        <v>3916</v>
      </c>
      <c r="J20" t="s">
        <v>4017</v>
      </c>
      <c r="O20" s="1" t="s">
        <v>3914</v>
      </c>
      <c r="P20" s="1"/>
      <c r="Q20" s="1"/>
      <c r="R20" s="1"/>
      <c r="S20" s="1"/>
      <c r="T20" s="1"/>
      <c r="X20" s="67">
        <f>COUNTIF([0]!LEGENDARY,Y20&amp;"*")</f>
        <v>0</v>
      </c>
      <c r="Y20" t="s">
        <v>3492</v>
      </c>
    </row>
    <row r="21" spans="1:25" x14ac:dyDescent="0.25">
      <c r="O21" s="159" t="s">
        <v>6</v>
      </c>
      <c r="P21" s="159" t="s">
        <v>3825</v>
      </c>
      <c r="Q21" s="159" t="s">
        <v>532</v>
      </c>
      <c r="R21" s="159" t="s">
        <v>3826</v>
      </c>
      <c r="S21" s="159" t="s">
        <v>3823</v>
      </c>
      <c r="T21" s="159" t="s">
        <v>3821</v>
      </c>
      <c r="X21" s="67">
        <f>COUNTIF([0]!LEGENDARY,Y21&amp;"*")</f>
        <v>14</v>
      </c>
      <c r="Y21" t="s">
        <v>334</v>
      </c>
    </row>
    <row r="22" spans="1:25" x14ac:dyDescent="0.25">
      <c r="E22" s="1" t="s">
        <v>3919</v>
      </c>
      <c r="F22" s="1"/>
      <c r="G22" s="1"/>
      <c r="H22" s="1"/>
      <c r="I22" s="1"/>
      <c r="J22" s="1"/>
      <c r="L22" s="67">
        <f>COUNTIF([0]!RARE,O22&amp;" +1"&amp;"*")</f>
        <v>0</v>
      </c>
      <c r="M22" s="67">
        <f>COUNTIF(Items_By_Rarity!VERYRARE,O22&amp;" +2"&amp;"*")</f>
        <v>0</v>
      </c>
      <c r="N22" s="67">
        <f>COUNTIF([0]!LEGENDARY,O22&amp;" +3"&amp;"*")</f>
        <v>0</v>
      </c>
      <c r="O22" t="s">
        <v>3917</v>
      </c>
      <c r="P22">
        <v>14</v>
      </c>
      <c r="Q22" t="s">
        <v>58</v>
      </c>
      <c r="R22" t="s">
        <v>3834</v>
      </c>
      <c r="S22" t="s">
        <v>3900</v>
      </c>
      <c r="T22" t="s">
        <v>3918</v>
      </c>
    </row>
    <row r="23" spans="1:25" x14ac:dyDescent="0.25">
      <c r="E23" s="159" t="s">
        <v>6</v>
      </c>
      <c r="F23" s="159" t="s">
        <v>3821</v>
      </c>
      <c r="G23" s="159" t="s">
        <v>3822</v>
      </c>
      <c r="H23" s="159" t="s">
        <v>3823</v>
      </c>
      <c r="I23" s="159" t="s">
        <v>3824</v>
      </c>
      <c r="J23" s="159" t="s">
        <v>4016</v>
      </c>
      <c r="L23" s="67">
        <f>COUNTIF([0]!RARE,O23&amp;" +1"&amp;"*")</f>
        <v>2</v>
      </c>
      <c r="M23" s="67">
        <f>COUNTIF(Items_By_Rarity!VERYRARE,O23&amp;" +2"&amp;"*")</f>
        <v>0</v>
      </c>
      <c r="N23" s="67">
        <f>COUNTIF([0]!LEGENDARY,O23&amp;" +3"&amp;"*")</f>
        <v>0</v>
      </c>
      <c r="O23" t="s">
        <v>3920</v>
      </c>
      <c r="P23">
        <v>16</v>
      </c>
      <c r="Q23" t="s">
        <v>3921</v>
      </c>
      <c r="R23" t="s">
        <v>3834</v>
      </c>
      <c r="S23" t="s">
        <v>3922</v>
      </c>
      <c r="T23" t="s">
        <v>3894</v>
      </c>
      <c r="Y23" s="1" t="s">
        <v>3927</v>
      </c>
    </row>
    <row r="24" spans="1:25" x14ac:dyDescent="0.25">
      <c r="A24" s="67">
        <f>COUNTIF([0]!UNCOMMON,E24&amp;" +1"&amp;"*")</f>
        <v>10</v>
      </c>
      <c r="B24" s="67">
        <f>COUNTIF([0]!RARE,E24&amp;" +2"&amp;"*")</f>
        <v>1</v>
      </c>
      <c r="C24" s="67">
        <f>COUNTIF(Items_By_Rarity!VERYRARE,E24&amp;" +3"&amp;"*")</f>
        <v>4</v>
      </c>
      <c r="D24" s="67">
        <f>COUNTIF([0]!RARE, "Vicious*(" &amp; E24 &amp; ")*")</f>
        <v>0</v>
      </c>
      <c r="E24" t="s">
        <v>3928</v>
      </c>
      <c r="F24" t="s">
        <v>3845</v>
      </c>
      <c r="G24" t="s">
        <v>3929</v>
      </c>
      <c r="H24" t="s">
        <v>3871</v>
      </c>
      <c r="I24" t="s">
        <v>3930</v>
      </c>
      <c r="J24" t="s">
        <v>4022</v>
      </c>
      <c r="L24" s="67">
        <f>COUNTIF([0]!RARE,O24&amp;" +1"&amp;"*")</f>
        <v>3</v>
      </c>
      <c r="M24" s="67">
        <f>COUNTIF(Items_By_Rarity!VERYRARE,O24&amp;" +2"&amp;"*")</f>
        <v>1</v>
      </c>
      <c r="N24" s="67">
        <f>COUNTIF([0]!LEGENDARY,O24&amp;" +3"&amp;"*")</f>
        <v>0</v>
      </c>
      <c r="O24" t="s">
        <v>3923</v>
      </c>
      <c r="P24">
        <v>17</v>
      </c>
      <c r="Q24" t="s">
        <v>3924</v>
      </c>
      <c r="R24" t="s">
        <v>3834</v>
      </c>
      <c r="S24" t="s">
        <v>3925</v>
      </c>
      <c r="T24" t="s">
        <v>3926</v>
      </c>
      <c r="Y24" s="159" t="s">
        <v>6</v>
      </c>
    </row>
    <row r="25" spans="1:25" x14ac:dyDescent="0.25">
      <c r="A25" s="67">
        <f>COUNTIF([0]!UNCOMMON,E25&amp;" +1"&amp;"*")</f>
        <v>2</v>
      </c>
      <c r="B25" s="67">
        <f>COUNTIF([0]!RARE,E25&amp;" +2"&amp;"*")</f>
        <v>0</v>
      </c>
      <c r="C25" s="67">
        <f>COUNTIF(Items_By_Rarity!VERYRARE,E25&amp;" +3"&amp;"*")</f>
        <v>0</v>
      </c>
      <c r="D25" s="67">
        <f>COUNTIF([0]!RARE, "Vicious*(" &amp; E25 &amp; ")*")</f>
        <v>0</v>
      </c>
      <c r="E25" t="s">
        <v>3934</v>
      </c>
      <c r="F25" t="s">
        <v>3845</v>
      </c>
      <c r="G25" t="s">
        <v>3849</v>
      </c>
      <c r="H25" t="s">
        <v>3830</v>
      </c>
      <c r="I25" t="s">
        <v>3872</v>
      </c>
      <c r="J25" t="s">
        <v>4021</v>
      </c>
      <c r="L25" s="67">
        <f>COUNTIF([0]!RARE,O25&amp;" +1"&amp;"*")</f>
        <v>12</v>
      </c>
      <c r="M25" s="67">
        <f>COUNTIF(Items_By_Rarity!VERYRARE,O25&amp;" +2"&amp;"*")</f>
        <v>15</v>
      </c>
      <c r="N25" s="67">
        <f>COUNTIF([0]!LEGENDARY,O25&amp;" +3"&amp;"*")</f>
        <v>8</v>
      </c>
      <c r="O25" t="s">
        <v>3931</v>
      </c>
      <c r="P25">
        <v>18</v>
      </c>
      <c r="Q25" t="s">
        <v>3924</v>
      </c>
      <c r="R25" t="s">
        <v>3834</v>
      </c>
      <c r="S25" t="s">
        <v>3932</v>
      </c>
      <c r="T25" t="s">
        <v>3933</v>
      </c>
      <c r="X25" s="67">
        <f>COUNTIF([0]!RARE,Y25&amp;"*")</f>
        <v>7</v>
      </c>
      <c r="Y25" t="s">
        <v>644</v>
      </c>
    </row>
    <row r="26" spans="1:25" x14ac:dyDescent="0.25">
      <c r="A26" s="67">
        <f>COUNTIF([0]!UNCOMMON,E26&amp;" +1"&amp;"*")</f>
        <v>0</v>
      </c>
      <c r="B26" s="67">
        <f>COUNTIF([0]!RARE,E26&amp;" +2"&amp;"*")</f>
        <v>2</v>
      </c>
      <c r="C26" s="67">
        <f>COUNTIF(Items_By_Rarity!VERYRARE,E26&amp;" +3"&amp;"*")</f>
        <v>2</v>
      </c>
      <c r="D26" s="67">
        <f>COUNTIF([0]!RARE, "Vicious*(" &amp; E26 &amp; ")*")</f>
        <v>1</v>
      </c>
      <c r="E26" t="s">
        <v>3935</v>
      </c>
      <c r="F26" t="s">
        <v>3936</v>
      </c>
      <c r="G26" t="s">
        <v>3937</v>
      </c>
      <c r="H26" t="s">
        <v>3938</v>
      </c>
      <c r="I26" t="s">
        <v>3939</v>
      </c>
      <c r="J26" t="s">
        <v>4023</v>
      </c>
      <c r="M26" s="67">
        <f>COUNTIF(Items_By_Rarity!VERYRARE,N26)</f>
        <v>4</v>
      </c>
      <c r="N26" t="s">
        <v>587</v>
      </c>
    </row>
    <row r="27" spans="1:25" x14ac:dyDescent="0.25">
      <c r="A27" s="67">
        <f>COUNTIF([0]!UNCOMMON,E27&amp;" +1"&amp;"*")</f>
        <v>0</v>
      </c>
      <c r="B27" s="67">
        <f>COUNTIF([0]!RARE,E27&amp;" +2"&amp;"*")</f>
        <v>5</v>
      </c>
      <c r="C27" s="67">
        <f>COUNTIF(Items_By_Rarity!VERYRARE,E27&amp;" +3"&amp;"*")</f>
        <v>1</v>
      </c>
      <c r="D27" s="67">
        <f>COUNTIF([0]!RARE, "Vicious*(" &amp; E27 &amp; ")*")</f>
        <v>1</v>
      </c>
      <c r="E27" t="s">
        <v>3940</v>
      </c>
      <c r="F27" t="s">
        <v>3918</v>
      </c>
      <c r="G27" t="s">
        <v>3941</v>
      </c>
      <c r="H27" t="s">
        <v>3942</v>
      </c>
      <c r="I27" t="s">
        <v>3943</v>
      </c>
      <c r="J27" t="s">
        <v>4024</v>
      </c>
      <c r="L27" s="67">
        <f>COUNTIF([0]!UNCOMMON,M27&amp;"*")</f>
        <v>7</v>
      </c>
      <c r="M27" t="s">
        <v>913</v>
      </c>
      <c r="Y27" s="1" t="s">
        <v>3945</v>
      </c>
    </row>
    <row r="28" spans="1:25" x14ac:dyDescent="0.25">
      <c r="A28" s="67">
        <f>COUNTIF([0]!UNCOMMON,E28&amp;" +1"&amp;"*")</f>
        <v>0</v>
      </c>
      <c r="B28" s="67">
        <f>COUNTIF([0]!RARE,E28&amp;" +2"&amp;"*")</f>
        <v>2</v>
      </c>
      <c r="C28" s="67">
        <f>COUNTIF(Items_By_Rarity!VERYRARE,E28&amp;" +3"&amp;"*")</f>
        <v>7</v>
      </c>
      <c r="D28" s="67">
        <f>COUNTIF([0]!RARE, "Vicious*(" &amp; E28 &amp; ")*")</f>
        <v>0</v>
      </c>
      <c r="E28" t="s">
        <v>3946</v>
      </c>
      <c r="F28" t="s">
        <v>3886</v>
      </c>
      <c r="G28" t="s">
        <v>3947</v>
      </c>
      <c r="H28" t="s">
        <v>3938</v>
      </c>
      <c r="I28" t="s">
        <v>3943</v>
      </c>
      <c r="J28" t="s">
        <v>4023</v>
      </c>
      <c r="O28" s="1" t="s">
        <v>3944</v>
      </c>
      <c r="P28" s="1"/>
      <c r="Q28" s="1"/>
      <c r="R28" s="1"/>
      <c r="S28" s="1"/>
      <c r="T28" s="1"/>
      <c r="Y28" s="159" t="s">
        <v>6</v>
      </c>
    </row>
    <row r="29" spans="1:25" x14ac:dyDescent="0.25">
      <c r="A29" s="67">
        <f>COUNTIF([0]!UNCOMMON,E29&amp;" +1"&amp;"*")</f>
        <v>0</v>
      </c>
      <c r="B29" s="67">
        <f>COUNTIF([0]!RARE,E29&amp;" +2"&amp;"*")</f>
        <v>1</v>
      </c>
      <c r="C29" s="67">
        <f>COUNTIF(Items_By_Rarity!VERYRARE,E29&amp;" +3"&amp;"*")</f>
        <v>1</v>
      </c>
      <c r="D29" s="67">
        <f>COUNTIF([0]!RARE, "Vicious*(" &amp; E29 &amp; ")*")</f>
        <v>1</v>
      </c>
      <c r="E29" t="s">
        <v>3948</v>
      </c>
      <c r="F29" t="s">
        <v>3936</v>
      </c>
      <c r="G29" t="s">
        <v>3937</v>
      </c>
      <c r="H29" t="s">
        <v>3938</v>
      </c>
      <c r="I29" t="s">
        <v>3939</v>
      </c>
      <c r="J29" t="s">
        <v>4024</v>
      </c>
      <c r="O29" s="159" t="s">
        <v>6</v>
      </c>
      <c r="P29" s="159" t="s">
        <v>3825</v>
      </c>
      <c r="Q29" s="159" t="s">
        <v>532</v>
      </c>
      <c r="R29" s="159" t="s">
        <v>3826</v>
      </c>
      <c r="S29" s="159" t="s">
        <v>3823</v>
      </c>
      <c r="T29" s="159" t="s">
        <v>3821</v>
      </c>
      <c r="X29" s="67">
        <f>COUNTIF([0]!UNCOMMON,Y29&amp;"*")</f>
        <v>4</v>
      </c>
      <c r="Y29" t="s">
        <v>892</v>
      </c>
    </row>
    <row r="30" spans="1:25" x14ac:dyDescent="0.25">
      <c r="A30" s="67">
        <f>COUNTIF([0]!UNCOMMON,E30&amp;" +1"&amp;"*")</f>
        <v>0</v>
      </c>
      <c r="B30" s="67">
        <f>COUNTIF([0]!RARE,E30&amp;" +2"&amp;"*")</f>
        <v>1</v>
      </c>
      <c r="C30" s="67">
        <f>COUNTIF(Items_By_Rarity!VERYRARE,E30&amp;" +3"&amp;"*")</f>
        <v>1</v>
      </c>
      <c r="D30" s="67">
        <f>COUNTIF([0]!RARE, "Vicious*(" &amp; E30 &amp; ")*")</f>
        <v>0</v>
      </c>
      <c r="E30" t="s">
        <v>3949</v>
      </c>
      <c r="F30" t="s">
        <v>3845</v>
      </c>
      <c r="G30" t="s">
        <v>3950</v>
      </c>
      <c r="H30" t="s">
        <v>3938</v>
      </c>
      <c r="I30" t="s">
        <v>3951</v>
      </c>
      <c r="J30" t="s">
        <v>4022</v>
      </c>
      <c r="L30" s="67">
        <f>COUNTIF([0]!UNCOMMON,O30&amp;" +1"&amp;"*")</f>
        <v>7</v>
      </c>
      <c r="M30" s="67">
        <f>COUNTIF([0]!RARE,O30&amp;" +2"&amp;"*")</f>
        <v>10</v>
      </c>
      <c r="N30" s="67">
        <f>COUNTIF(Items_By_Rarity!VERYRARE,O30&amp;" +3"&amp;"*")</f>
        <v>16</v>
      </c>
      <c r="O30" t="s">
        <v>3944</v>
      </c>
      <c r="P30">
        <v>2</v>
      </c>
      <c r="Q30" t="s">
        <v>58</v>
      </c>
      <c r="R30" t="s">
        <v>58</v>
      </c>
      <c r="S30" t="s">
        <v>3938</v>
      </c>
      <c r="T30" t="s">
        <v>3845</v>
      </c>
    </row>
    <row r="31" spans="1:25" x14ac:dyDescent="0.25">
      <c r="A31" s="67">
        <f>COUNTIF([0]!UNCOMMON,E31&amp;" +1"&amp;"*")</f>
        <v>2</v>
      </c>
      <c r="B31" s="67">
        <f>COUNTIF([0]!RARE,E31&amp;" +2"&amp;"*")</f>
        <v>4</v>
      </c>
      <c r="C31" s="67">
        <f>COUNTIF(Items_By_Rarity!VERYRARE,E31&amp;" +3"&amp;"*")</f>
        <v>1</v>
      </c>
      <c r="D31" s="67">
        <f>COUNTIF([0]!RARE, "Vicious*(" &amp; E31 &amp; ")*")</f>
        <v>2</v>
      </c>
      <c r="E31" t="s">
        <v>3952</v>
      </c>
      <c r="F31" t="s">
        <v>3953</v>
      </c>
      <c r="G31" t="s">
        <v>3929</v>
      </c>
      <c r="H31" t="s">
        <v>3887</v>
      </c>
      <c r="I31" t="s">
        <v>3930</v>
      </c>
      <c r="J31" t="s">
        <v>4021</v>
      </c>
      <c r="Y31" s="1" t="s">
        <v>3955</v>
      </c>
    </row>
    <row r="32" spans="1:25" x14ac:dyDescent="0.25">
      <c r="A32" s="67">
        <f>COUNTIF([0]!UNCOMMON,E32&amp;" +1"&amp;"*")</f>
        <v>0</v>
      </c>
      <c r="B32" s="67">
        <f>COUNTIF([0]!RARE,E32&amp;" +2"&amp;"*")</f>
        <v>2</v>
      </c>
      <c r="C32" s="67">
        <f>COUNTIF(Items_By_Rarity!VERYRARE,E32&amp;" +3"&amp;"*")</f>
        <v>2</v>
      </c>
      <c r="D32" s="67">
        <f>COUNTIF([0]!RARE, "Vicious*(" &amp; E32 &amp; ")*")</f>
        <v>0</v>
      </c>
      <c r="E32" t="s">
        <v>3956</v>
      </c>
      <c r="F32" t="s">
        <v>3845</v>
      </c>
      <c r="G32" t="s">
        <v>3957</v>
      </c>
      <c r="H32" t="s">
        <v>3844</v>
      </c>
      <c r="I32" t="s">
        <v>3943</v>
      </c>
      <c r="J32" t="s">
        <v>4022</v>
      </c>
      <c r="O32" s="1" t="s">
        <v>3954</v>
      </c>
      <c r="P32" s="1"/>
      <c r="Q32" s="1"/>
      <c r="Y32" s="159" t="s">
        <v>6</v>
      </c>
    </row>
    <row r="33" spans="1:25" x14ac:dyDescent="0.25">
      <c r="A33" s="67">
        <f>COUNTIF([0]!UNCOMMON,E33&amp;" +1"&amp;"*")</f>
        <v>0</v>
      </c>
      <c r="B33" s="67">
        <f>COUNTIF([0]!RARE,E33&amp;" +2"&amp;"*")</f>
        <v>2</v>
      </c>
      <c r="C33" s="67">
        <f>COUNTIF(Items_By_Rarity!VERYRARE,E33&amp;" +3"&amp;"*")</f>
        <v>0</v>
      </c>
      <c r="D33" s="67">
        <f>COUNTIF([0]!RARE, "Vicious*(" &amp; E33 &amp; ")*")</f>
        <v>0</v>
      </c>
      <c r="E33" t="s">
        <v>3961</v>
      </c>
      <c r="F33" t="s">
        <v>3953</v>
      </c>
      <c r="G33" t="s">
        <v>3904</v>
      </c>
      <c r="H33" t="s">
        <v>3871</v>
      </c>
      <c r="I33" t="s">
        <v>3872</v>
      </c>
      <c r="J33" t="s">
        <v>4021</v>
      </c>
      <c r="O33" s="159" t="s">
        <v>3958</v>
      </c>
      <c r="P33" s="159" t="s">
        <v>3959</v>
      </c>
      <c r="Q33" s="159" t="s">
        <v>3960</v>
      </c>
      <c r="X33" s="67">
        <f>COUNTIF([0]!UNCOMMON,Y33&amp;"*")</f>
        <v>10</v>
      </c>
      <c r="Y33" t="s">
        <v>901</v>
      </c>
    </row>
    <row r="34" spans="1:25" x14ac:dyDescent="0.25">
      <c r="A34" s="67">
        <f>COUNTIF([0]!UNCOMMON,E34&amp;" +1"&amp;"*")</f>
        <v>0</v>
      </c>
      <c r="B34" s="67">
        <f>COUNTIF([0]!RARE,E34&amp;" +2"&amp;"*")</f>
        <v>0</v>
      </c>
      <c r="C34" s="67">
        <f>COUNTIF(Items_By_Rarity!VERYRARE,E34&amp;" +3"&amp;"*")</f>
        <v>0</v>
      </c>
      <c r="D34" s="67">
        <f>COUNTIF([0]!RARE, "Vicious*(" &amp; E34 &amp; ")*")</f>
        <v>0</v>
      </c>
      <c r="E34" t="s">
        <v>3963</v>
      </c>
      <c r="F34" t="s">
        <v>3836</v>
      </c>
      <c r="G34" t="s">
        <v>3964</v>
      </c>
      <c r="H34" t="s">
        <v>3965</v>
      </c>
      <c r="I34" t="s">
        <v>3939</v>
      </c>
      <c r="J34" t="s">
        <v>4019</v>
      </c>
      <c r="O34" t="s">
        <v>3816</v>
      </c>
      <c r="P34" t="s">
        <v>3962</v>
      </c>
      <c r="Q34" t="s">
        <v>3962</v>
      </c>
      <c r="X34" s="67">
        <f>COUNTIF([0]!UNCOMMON,Y34&amp;"*")</f>
        <v>3</v>
      </c>
      <c r="Y34" t="s">
        <v>2226</v>
      </c>
    </row>
    <row r="35" spans="1:25" x14ac:dyDescent="0.25">
      <c r="A35" s="67">
        <f>COUNTIF([0]!UNCOMMON,E35&amp;" +1"&amp;"*")</f>
        <v>1</v>
      </c>
      <c r="B35" s="67">
        <f>COUNTIF([0]!RARE,E35&amp;" +2"&amp;"*")</f>
        <v>1</v>
      </c>
      <c r="C35" s="67">
        <f>COUNTIF(Items_By_Rarity!VERYRARE,E35&amp;" +3"&amp;"*")</f>
        <v>1</v>
      </c>
      <c r="D35" s="67">
        <f>COUNTIF([0]!RARE, "Vicious*(" &amp; E35 &amp; ")*")</f>
        <v>0</v>
      </c>
      <c r="E35" t="s">
        <v>3967</v>
      </c>
      <c r="F35" t="s">
        <v>3903</v>
      </c>
      <c r="G35" t="s">
        <v>3904</v>
      </c>
      <c r="H35" t="s">
        <v>3830</v>
      </c>
      <c r="I35" t="s">
        <v>3968</v>
      </c>
      <c r="J35" t="s">
        <v>4020</v>
      </c>
      <c r="O35" t="s">
        <v>3867</v>
      </c>
      <c r="P35" t="s">
        <v>3966</v>
      </c>
      <c r="Q35" t="s">
        <v>3962</v>
      </c>
      <c r="V35" s="67">
        <f>COUNTIF([0]!UNCOMMON,Y35&amp;" +1"&amp;"*")</f>
        <v>2</v>
      </c>
      <c r="W35" s="67">
        <f>COUNTIF([0]!RARE,Y35&amp;" +2"&amp;"*")</f>
        <v>0</v>
      </c>
      <c r="X35" s="67">
        <f>COUNTIF(Items_By_Rarity!VERYRARE,Y35&amp;" +3"&amp;"*")</f>
        <v>1</v>
      </c>
      <c r="Y35" t="s">
        <v>3970</v>
      </c>
    </row>
    <row r="36" spans="1:25" x14ac:dyDescent="0.25">
      <c r="A36" s="67">
        <f>COUNTIF([0]!UNCOMMON,E36&amp;" +1"&amp;"*")</f>
        <v>0</v>
      </c>
      <c r="B36" s="67">
        <f>COUNTIF([0]!RARE,E36&amp;" +2"&amp;"*")</f>
        <v>4</v>
      </c>
      <c r="C36" s="67">
        <f>COUNTIF(Items_By_Rarity!VERYRARE,E36&amp;" +3"&amp;"*")</f>
        <v>3</v>
      </c>
      <c r="D36" s="67">
        <f>COUNTIF([0]!RARE, "Vicious*(" &amp; E36 &amp; ")*")</f>
        <v>0</v>
      </c>
      <c r="E36" t="s">
        <v>3971</v>
      </c>
      <c r="F36" t="s">
        <v>3903</v>
      </c>
      <c r="G36" t="s">
        <v>3857</v>
      </c>
      <c r="H36" t="s">
        <v>3887</v>
      </c>
      <c r="I36" t="s">
        <v>3972</v>
      </c>
      <c r="J36" t="s">
        <v>4018</v>
      </c>
      <c r="O36" t="s">
        <v>3914</v>
      </c>
      <c r="P36" t="s">
        <v>3969</v>
      </c>
      <c r="Q36" t="s">
        <v>3966</v>
      </c>
      <c r="V36" s="67">
        <f>COUNTIF([0]!UNCOMMON,Y36&amp;" +1"&amp;"*")</f>
        <v>0</v>
      </c>
      <c r="W36" s="67">
        <f>COUNTIF([0]!RARE,Y36&amp;" +2"&amp;"*")</f>
        <v>2</v>
      </c>
      <c r="X36" s="67">
        <f>COUNTIF(Items_By_Rarity!VERYRARE,Y36&amp;" +3"&amp;"*")</f>
        <v>8</v>
      </c>
      <c r="Y36" t="s">
        <v>3993</v>
      </c>
    </row>
    <row r="37" spans="1:25" x14ac:dyDescent="0.25">
      <c r="A37" s="67">
        <f>COUNTIF([0]!UNCOMMON,E37&amp;" +1"&amp;"*")</f>
        <v>4</v>
      </c>
      <c r="B37" s="67">
        <f>COUNTIF([0]!RARE,E37&amp;" +2"&amp;"*")</f>
        <v>3</v>
      </c>
      <c r="C37" s="67">
        <f>COUNTIF(Items_By_Rarity!VERYRARE,E37&amp;" +3"&amp;"*")</f>
        <v>1</v>
      </c>
      <c r="D37" s="67">
        <f>COUNTIF([0]!RARE, "Vicious*(" &amp; E37 &amp; ")*")</f>
        <v>0</v>
      </c>
      <c r="E37" t="s">
        <v>3974</v>
      </c>
      <c r="F37" t="s">
        <v>3845</v>
      </c>
      <c r="G37" t="s">
        <v>3863</v>
      </c>
      <c r="H37" t="s">
        <v>3830</v>
      </c>
      <c r="I37" t="s">
        <v>3972</v>
      </c>
      <c r="J37" t="s">
        <v>4020</v>
      </c>
      <c r="O37" t="s">
        <v>3944</v>
      </c>
      <c r="P37" t="s">
        <v>3973</v>
      </c>
      <c r="Q37" t="s">
        <v>3973</v>
      </c>
    </row>
    <row r="38" spans="1:25" x14ac:dyDescent="0.25">
      <c r="A38" s="67">
        <f>COUNTIF([0]!UNCOMMON,E38&amp;" +1"&amp;"*")</f>
        <v>0</v>
      </c>
      <c r="B38" s="67">
        <f>COUNTIF([0]!RARE,E38&amp;" +2"&amp;"*")</f>
        <v>1</v>
      </c>
      <c r="C38" s="67">
        <f>COUNTIF(Items_By_Rarity!VERYRARE,E38&amp;" +3"&amp;"*")</f>
        <v>1</v>
      </c>
      <c r="D38" s="67">
        <f>COUNTIF([0]!RARE, "Vicious*(" &amp; E38 &amp; ")*")</f>
        <v>0</v>
      </c>
      <c r="E38" t="s">
        <v>3975</v>
      </c>
      <c r="F38" t="s">
        <v>3836</v>
      </c>
      <c r="G38" t="s">
        <v>3904</v>
      </c>
      <c r="H38" t="s">
        <v>3871</v>
      </c>
      <c r="I38" t="s">
        <v>3888</v>
      </c>
      <c r="J38" t="s">
        <v>4022</v>
      </c>
    </row>
    <row r="39" spans="1:25" x14ac:dyDescent="0.25">
      <c r="A39" s="67">
        <f>COUNTIF([0]!UNCOMMON,E39&amp;" +1"&amp;"*")</f>
        <v>0</v>
      </c>
      <c r="B39" s="67">
        <f>COUNTIF([0]!RARE,E39&amp;" +2"&amp;"*")</f>
        <v>0</v>
      </c>
      <c r="C39" s="67">
        <f>COUNTIF(Items_By_Rarity!VERYRARE,E39&amp;" +3"&amp;"*")</f>
        <v>0</v>
      </c>
      <c r="D39" s="67">
        <f>COUNTIF([0]!RARE, "Vicious*(" &amp; E39 &amp; ")*")</f>
        <v>0</v>
      </c>
      <c r="E39" t="s">
        <v>3976</v>
      </c>
      <c r="F39" t="s">
        <v>3836</v>
      </c>
      <c r="G39" t="s">
        <v>3904</v>
      </c>
      <c r="H39" t="s">
        <v>3830</v>
      </c>
      <c r="I39" t="s">
        <v>3872</v>
      </c>
      <c r="J39" t="s">
        <v>4021</v>
      </c>
    </row>
    <row r="40" spans="1:25" x14ac:dyDescent="0.25">
      <c r="A40" s="67">
        <f>COUNTIF([0]!UNCOMMON,E40&amp;" +1"&amp;"*")</f>
        <v>2</v>
      </c>
      <c r="B40" s="67">
        <f>COUNTIF([0]!RARE,E40&amp;" +2"&amp;"*")</f>
        <v>4</v>
      </c>
      <c r="C40" s="67">
        <f>COUNTIF(Items_By_Rarity!VERYRARE,E40&amp;" +3"&amp;"*")</f>
        <v>1</v>
      </c>
      <c r="D40" s="67">
        <f>COUNTIF([0]!RARE, "Vicious*(" &amp; E40 &amp; ")*")</f>
        <v>0</v>
      </c>
      <c r="E40" t="s">
        <v>3977</v>
      </c>
      <c r="F40" t="s">
        <v>3953</v>
      </c>
      <c r="G40" t="s">
        <v>3849</v>
      </c>
      <c r="H40" t="s">
        <v>3830</v>
      </c>
      <c r="I40" t="s">
        <v>3930</v>
      </c>
      <c r="J40" t="s">
        <v>4019</v>
      </c>
    </row>
    <row r="41" spans="1:25" x14ac:dyDescent="0.25">
      <c r="A41" s="67">
        <f>COUNTIF([0]!UNCOMMON,E41&amp;" +1"&amp;"*")</f>
        <v>0</v>
      </c>
      <c r="B41" s="67">
        <f>COUNTIF([0]!RARE,E41&amp;" +2"&amp;"*")</f>
        <v>3</v>
      </c>
      <c r="C41" s="67">
        <f>COUNTIF(Items_By_Rarity!VERYRARE,E41&amp;" +3"&amp;"*")</f>
        <v>2</v>
      </c>
      <c r="D41" s="67">
        <f>COUNTIF([0]!RARE, "Vicious*(" &amp; E41 &amp; ")*")</f>
        <v>0</v>
      </c>
      <c r="E41" t="s">
        <v>3978</v>
      </c>
      <c r="F41" t="s">
        <v>3839</v>
      </c>
      <c r="G41" t="s">
        <v>3882</v>
      </c>
      <c r="H41" t="s">
        <v>3887</v>
      </c>
      <c r="I41" t="s">
        <v>3979</v>
      </c>
      <c r="J41" t="s">
        <v>4017</v>
      </c>
    </row>
    <row r="43" spans="1:25" x14ac:dyDescent="0.25">
      <c r="E43" s="1" t="s">
        <v>3980</v>
      </c>
      <c r="F43" s="1"/>
      <c r="G43" s="1"/>
      <c r="H43" s="1"/>
      <c r="I43" s="1"/>
      <c r="J43" s="1"/>
    </row>
    <row r="44" spans="1:25" x14ac:dyDescent="0.25">
      <c r="E44" s="159" t="s">
        <v>6</v>
      </c>
      <c r="F44" s="159" t="s">
        <v>3821</v>
      </c>
      <c r="G44" s="159" t="s">
        <v>3822</v>
      </c>
      <c r="H44" s="159" t="s">
        <v>3823</v>
      </c>
      <c r="I44" s="159" t="s">
        <v>3824</v>
      </c>
      <c r="J44" s="1"/>
    </row>
    <row r="45" spans="1:25" x14ac:dyDescent="0.25">
      <c r="A45" s="67">
        <f>COUNTIF([0]!UNCOMMON,E45&amp;" +1"&amp;"*")</f>
        <v>0</v>
      </c>
      <c r="B45" s="67">
        <f>COUNTIF([0]!RARE,E45&amp;" +2"&amp;"*")</f>
        <v>0</v>
      </c>
      <c r="C45" s="67">
        <f>COUNTIF(Items_By_Rarity!VERYRARE,E45&amp;" +3"&amp;"*")</f>
        <v>0</v>
      </c>
      <c r="D45" s="67">
        <f>COUNTIF([0]!RARE, "Vicious*(" &amp; E45 &amp; ")*")</f>
        <v>0</v>
      </c>
      <c r="E45" t="s">
        <v>3981</v>
      </c>
      <c r="F45" t="s">
        <v>3845</v>
      </c>
      <c r="G45" t="s">
        <v>3982</v>
      </c>
      <c r="H45" t="s">
        <v>3841</v>
      </c>
      <c r="I45" t="s">
        <v>3983</v>
      </c>
      <c r="J45" t="s">
        <v>4020</v>
      </c>
    </row>
    <row r="46" spans="1:25" x14ac:dyDescent="0.25">
      <c r="A46" s="67">
        <f>COUNTIF([0]!UNCOMMON,E46&amp;" +1"&amp;"*")</f>
        <v>2</v>
      </c>
      <c r="B46" s="67">
        <f>COUNTIF([0]!RARE,E46&amp;" +2"&amp;"*")</f>
        <v>3</v>
      </c>
      <c r="C46" s="67">
        <f>COUNTIF(Items_By_Rarity!VERYRARE,E46&amp;" +3"&amp;"*")</f>
        <v>2</v>
      </c>
      <c r="D46" s="67">
        <f>COUNTIF([0]!RARE, "Vicious*(" &amp; E46 &amp; ")*")</f>
        <v>1</v>
      </c>
      <c r="E46" t="s">
        <v>3984</v>
      </c>
      <c r="F46" t="s">
        <v>3894</v>
      </c>
      <c r="G46" t="s">
        <v>3863</v>
      </c>
      <c r="H46" t="s">
        <v>3887</v>
      </c>
      <c r="I46" t="s">
        <v>3985</v>
      </c>
      <c r="J46" t="s">
        <v>4020</v>
      </c>
    </row>
    <row r="47" spans="1:25" x14ac:dyDescent="0.25">
      <c r="A47" s="67">
        <f>COUNTIF([0]!UNCOMMON,E47&amp;" +1"&amp;"*")</f>
        <v>0</v>
      </c>
      <c r="B47" s="67">
        <f>COUNTIF([0]!RARE,E47&amp;" +2"&amp;"*")</f>
        <v>1</v>
      </c>
      <c r="C47" s="67">
        <f>COUNTIF(Items_By_Rarity!VERYRARE,E47&amp;" +3"&amp;"*")</f>
        <v>0</v>
      </c>
      <c r="D47" s="67">
        <f>COUNTIF([0]!RARE, "Vicious*(" &amp; E47 &amp; ")*")</f>
        <v>0</v>
      </c>
      <c r="E47" t="s">
        <v>3986</v>
      </c>
      <c r="F47" t="s">
        <v>3886</v>
      </c>
      <c r="G47" t="s">
        <v>3964</v>
      </c>
      <c r="H47" t="s">
        <v>3965</v>
      </c>
      <c r="I47" t="s">
        <v>3987</v>
      </c>
      <c r="J47" t="s">
        <v>4019</v>
      </c>
    </row>
    <row r="48" spans="1:25" x14ac:dyDescent="0.25">
      <c r="A48" s="67">
        <f>COUNTIF([0]!UNCOMMON,E48&amp;" +1"&amp;"*")</f>
        <v>3</v>
      </c>
      <c r="B48" s="67">
        <f>COUNTIF([0]!RARE,E48&amp;" +2"&amp;"*")</f>
        <v>6</v>
      </c>
      <c r="C48" s="67">
        <f>COUNTIF(Items_By_Rarity!VERYRARE,E48&amp;" +3"&amp;"*")</f>
        <v>5</v>
      </c>
      <c r="D48" s="67">
        <f>COUNTIF([0]!RARE, "Vicious*(" &amp; E48 &amp; ")*")</f>
        <v>0</v>
      </c>
      <c r="E48" t="s">
        <v>3988</v>
      </c>
      <c r="F48" t="s">
        <v>3886</v>
      </c>
      <c r="G48" t="s">
        <v>3904</v>
      </c>
      <c r="H48" t="s">
        <v>3830</v>
      </c>
      <c r="I48" t="s">
        <v>3989</v>
      </c>
      <c r="J48" t="s">
        <v>4017</v>
      </c>
    </row>
    <row r="49" customForma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L111"/>
  <sheetViews>
    <sheetView workbookViewId="0">
      <pane xSplit="1" ySplit="2" topLeftCell="Q3" activePane="bottomRight" state="frozen"/>
      <selection pane="topRight" activeCell="B1" sqref="B1"/>
      <selection pane="bottomLeft" activeCell="A3" sqref="A3"/>
      <selection pane="bottomRight" activeCell="U3" sqref="U3"/>
    </sheetView>
  </sheetViews>
  <sheetFormatPr defaultRowHeight="15" x14ac:dyDescent="0.25"/>
  <cols>
    <col min="1" max="1" width="12" bestFit="1" customWidth="1"/>
    <col min="2" max="2" width="29" bestFit="1" customWidth="1"/>
    <col min="3" max="3" width="40.42578125" bestFit="1" customWidth="1"/>
    <col min="4" max="4" width="34.85546875" bestFit="1" customWidth="1"/>
    <col min="5" max="5" width="28" bestFit="1" customWidth="1"/>
    <col min="6" max="6" width="38.28515625" bestFit="1" customWidth="1"/>
    <col min="7" max="8" width="34.85546875" bestFit="1" customWidth="1"/>
    <col min="9" max="9" width="43" bestFit="1" customWidth="1"/>
    <col min="10" max="10" width="28.5703125" bestFit="1" customWidth="1"/>
    <col min="11" max="12" width="38.28515625" bestFit="1" customWidth="1"/>
    <col min="13" max="13" width="34.85546875" bestFit="1" customWidth="1"/>
    <col min="14" max="14" width="24.28515625" bestFit="1" customWidth="1"/>
    <col min="15" max="15" width="43" bestFit="1" customWidth="1"/>
    <col min="16" max="16" width="15.7109375" bestFit="1" customWidth="1"/>
    <col min="17" max="17" width="38.28515625" bestFit="1" customWidth="1"/>
    <col min="18" max="18" width="39.7109375" bestFit="1" customWidth="1"/>
    <col min="19" max="19" width="29.140625" bestFit="1" customWidth="1"/>
    <col min="20" max="20" width="36.5703125" bestFit="1" customWidth="1"/>
    <col min="21" max="21" width="29.140625" bestFit="1" customWidth="1"/>
    <col min="22" max="22" width="34.85546875" bestFit="1" customWidth="1"/>
    <col min="23" max="23" width="19.140625" bestFit="1" customWidth="1"/>
    <col min="24" max="24" width="24.28515625" bestFit="1" customWidth="1"/>
    <col min="25" max="25" width="15.28515625" customWidth="1"/>
    <col min="26" max="26" width="35" bestFit="1" customWidth="1"/>
    <col min="27" max="27" width="34.85546875" bestFit="1" customWidth="1"/>
    <col min="28" max="28" width="15.7109375" bestFit="1" customWidth="1"/>
    <col min="29" max="29" width="20.85546875" bestFit="1" customWidth="1"/>
    <col min="30" max="30" width="23.5703125" bestFit="1" customWidth="1"/>
    <col min="31" max="31" width="28.85546875" bestFit="1" customWidth="1"/>
    <col min="32" max="32" width="28.85546875" customWidth="1"/>
    <col min="33" max="33" width="20.42578125" bestFit="1" customWidth="1"/>
    <col min="34" max="36" width="20.42578125" customWidth="1"/>
    <col min="37" max="37" width="41.5703125" bestFit="1" customWidth="1"/>
  </cols>
  <sheetData>
    <row r="1" spans="1:38" x14ac:dyDescent="0.25">
      <c r="B1">
        <f>COUNTA(B3:B200)</f>
        <v>11</v>
      </c>
      <c r="C1">
        <f t="shared" ref="C1:H1" si="0">COUNTA(C3:C200)</f>
        <v>11</v>
      </c>
      <c r="D1">
        <f t="shared" si="0"/>
        <v>12</v>
      </c>
      <c r="E1">
        <f t="shared" si="0"/>
        <v>14</v>
      </c>
      <c r="F1">
        <f t="shared" si="0"/>
        <v>19</v>
      </c>
      <c r="G1">
        <f>COUNTA(G3:G200)</f>
        <v>10</v>
      </c>
      <c r="H1">
        <f t="shared" si="0"/>
        <v>12</v>
      </c>
      <c r="I1">
        <f>COUNTA(I3:I200)</f>
        <v>12</v>
      </c>
      <c r="J1">
        <f>COUNTA(J3:J200)</f>
        <v>13</v>
      </c>
      <c r="K1">
        <f>COUNTA(K3:K200)</f>
        <v>11</v>
      </c>
      <c r="L1">
        <f t="shared" ref="L1:R1" si="1">COUNTA(L3:L200)</f>
        <v>12</v>
      </c>
      <c r="M1">
        <f t="shared" si="1"/>
        <v>10</v>
      </c>
      <c r="N1">
        <f>COUNTA(N3:N200)-1</f>
        <v>7</v>
      </c>
      <c r="O1">
        <f t="shared" si="1"/>
        <v>6</v>
      </c>
      <c r="P1">
        <f t="shared" si="1"/>
        <v>4</v>
      </c>
      <c r="Q1" s="59">
        <f t="shared" si="1"/>
        <v>10</v>
      </c>
      <c r="R1">
        <f t="shared" si="1"/>
        <v>14</v>
      </c>
      <c r="S1" s="59">
        <f>COUNTA(S3:S200)-3</f>
        <v>11</v>
      </c>
      <c r="T1" s="59">
        <f>COUNTA(T3:T200)-3</f>
        <v>11</v>
      </c>
      <c r="U1">
        <f>COUNTA(U3:U200)</f>
        <v>10</v>
      </c>
      <c r="V1">
        <f>COUNTA(V3:V200)-1</f>
        <v>10</v>
      </c>
      <c r="W1">
        <f t="shared" ref="W1:AE1" si="2">COUNTA(W3:W200)</f>
        <v>5</v>
      </c>
      <c r="X1">
        <f t="shared" si="2"/>
        <v>5</v>
      </c>
      <c r="Y1">
        <f t="shared" si="2"/>
        <v>0</v>
      </c>
      <c r="Z1">
        <f>COUNTA(Z3:Z200)</f>
        <v>8</v>
      </c>
      <c r="AA1">
        <f>COUNTA(AA3:AA200)-1</f>
        <v>10</v>
      </c>
      <c r="AB1">
        <f t="shared" si="2"/>
        <v>2</v>
      </c>
      <c r="AC1">
        <f>COUNTA(AC3:AC200)-1</f>
        <v>5</v>
      </c>
      <c r="AD1">
        <f>COUNTA(AD3:AD200)-3</f>
        <v>6</v>
      </c>
      <c r="AE1">
        <f t="shared" si="2"/>
        <v>6</v>
      </c>
      <c r="AF1">
        <f>COUNTA(AF3:AF200)-7</f>
        <v>6</v>
      </c>
      <c r="AG1">
        <f>COUNTA(AG3:AG200)-6</f>
        <v>7</v>
      </c>
      <c r="AH1">
        <f>COUNTA(AH3:AH200)</f>
        <v>1</v>
      </c>
      <c r="AK1">
        <f>COUNTA(AK3:AK200)</f>
        <v>10</v>
      </c>
      <c r="AL1">
        <f>COUNTA(AL3:AL200)</f>
        <v>6</v>
      </c>
    </row>
    <row r="2" spans="1:38" x14ac:dyDescent="0.25">
      <c r="B2" t="s">
        <v>26</v>
      </c>
      <c r="C2" t="s">
        <v>29</v>
      </c>
      <c r="D2" t="s">
        <v>32</v>
      </c>
      <c r="E2" t="s">
        <v>35</v>
      </c>
      <c r="F2" t="s">
        <v>39</v>
      </c>
      <c r="G2" t="s">
        <v>42</v>
      </c>
      <c r="H2" t="s">
        <v>45</v>
      </c>
      <c r="I2" s="1" t="s">
        <v>74</v>
      </c>
      <c r="J2" t="s">
        <v>47</v>
      </c>
      <c r="K2" t="s">
        <v>49</v>
      </c>
      <c r="L2" t="s">
        <v>63</v>
      </c>
      <c r="M2" t="s">
        <v>78</v>
      </c>
      <c r="N2" t="s">
        <v>323</v>
      </c>
      <c r="O2" t="s">
        <v>80</v>
      </c>
      <c r="P2" s="1" t="s">
        <v>144</v>
      </c>
      <c r="Q2" t="s">
        <v>65</v>
      </c>
      <c r="R2" t="s">
        <v>84</v>
      </c>
      <c r="S2" t="s">
        <v>87</v>
      </c>
      <c r="T2" s="1" t="s">
        <v>53</v>
      </c>
      <c r="U2" s="1" t="s">
        <v>127</v>
      </c>
      <c r="V2" s="1" t="s">
        <v>55</v>
      </c>
      <c r="W2" t="s">
        <v>96</v>
      </c>
      <c r="X2" s="1" t="s">
        <v>111</v>
      </c>
      <c r="Y2" s="1" t="s">
        <v>132</v>
      </c>
      <c r="Z2" t="s">
        <v>140</v>
      </c>
      <c r="AA2" s="1" t="s">
        <v>51</v>
      </c>
      <c r="AB2" s="1" t="s">
        <v>136</v>
      </c>
      <c r="AC2" s="1" t="s">
        <v>109</v>
      </c>
      <c r="AD2" s="1" t="s">
        <v>72</v>
      </c>
      <c r="AE2" s="1" t="s">
        <v>94</v>
      </c>
      <c r="AF2" s="1" t="s">
        <v>90</v>
      </c>
      <c r="AG2" s="1" t="s">
        <v>98</v>
      </c>
      <c r="AH2" s="1" t="s">
        <v>146</v>
      </c>
      <c r="AI2" s="1"/>
      <c r="AJ2" s="1"/>
      <c r="AK2" s="1" t="s">
        <v>329</v>
      </c>
      <c r="AL2" s="1" t="s">
        <v>330</v>
      </c>
    </row>
    <row r="3" spans="1:38" x14ac:dyDescent="0.25">
      <c r="A3" t="s">
        <v>1735</v>
      </c>
      <c r="B3" s="6" t="s">
        <v>334</v>
      </c>
      <c r="C3" s="15" t="s">
        <v>1736</v>
      </c>
      <c r="D3" s="20" t="s">
        <v>336</v>
      </c>
      <c r="E3" s="6" t="s">
        <v>337</v>
      </c>
      <c r="F3" s="6" t="s">
        <v>1737</v>
      </c>
      <c r="G3" s="6" t="s">
        <v>334</v>
      </c>
      <c r="H3" s="6" t="s">
        <v>1738</v>
      </c>
      <c r="J3" s="6" t="s">
        <v>342</v>
      </c>
      <c r="K3" s="6" t="s">
        <v>1739</v>
      </c>
      <c r="L3" s="6" t="s">
        <v>1738</v>
      </c>
      <c r="M3" s="6" t="s">
        <v>343</v>
      </c>
      <c r="N3" s="16" t="s">
        <v>605</v>
      </c>
      <c r="O3" s="16" t="s">
        <v>1740</v>
      </c>
      <c r="Q3" s="6" t="s">
        <v>345</v>
      </c>
      <c r="R3" s="6" t="s">
        <v>343</v>
      </c>
      <c r="S3" s="6" t="s">
        <v>334</v>
      </c>
      <c r="T3" s="6" t="s">
        <v>343</v>
      </c>
      <c r="U3" s="6" t="s">
        <v>346</v>
      </c>
      <c r="V3" s="28" t="s">
        <v>347</v>
      </c>
      <c r="Z3" s="16" t="s">
        <v>605</v>
      </c>
      <c r="AA3" s="31" t="s">
        <v>1741</v>
      </c>
      <c r="AD3" s="6" t="s">
        <v>350</v>
      </c>
      <c r="AF3" s="15" t="s">
        <v>1742</v>
      </c>
      <c r="AG3" s="15" t="s">
        <v>1742</v>
      </c>
      <c r="AK3" t="s">
        <v>343</v>
      </c>
      <c r="AL3" t="s">
        <v>343</v>
      </c>
    </row>
    <row r="4" spans="1:38" x14ac:dyDescent="0.25">
      <c r="A4" t="s">
        <v>1743</v>
      </c>
      <c r="C4" s="6" t="s">
        <v>335</v>
      </c>
      <c r="D4" s="6" t="s">
        <v>1738</v>
      </c>
      <c r="E4" s="6" t="s">
        <v>343</v>
      </c>
      <c r="F4" s="6" t="s">
        <v>1744</v>
      </c>
      <c r="G4" s="20" t="s">
        <v>339</v>
      </c>
      <c r="J4" s="2"/>
      <c r="L4" s="28" t="s">
        <v>334</v>
      </c>
      <c r="M4" s="20" t="s">
        <v>388</v>
      </c>
      <c r="N4" s="20" t="s">
        <v>1745</v>
      </c>
      <c r="Q4" s="6" t="s">
        <v>334</v>
      </c>
      <c r="R4" s="2"/>
      <c r="T4" s="6" t="s">
        <v>337</v>
      </c>
      <c r="U4" s="6" t="s">
        <v>1738</v>
      </c>
      <c r="AA4" s="28" t="s">
        <v>1738</v>
      </c>
      <c r="AD4" s="9" t="s">
        <v>463</v>
      </c>
      <c r="AK4" t="s">
        <v>340</v>
      </c>
      <c r="AL4" t="s">
        <v>343</v>
      </c>
    </row>
    <row r="5" spans="1:38" x14ac:dyDescent="0.25">
      <c r="A5" t="s">
        <v>1746</v>
      </c>
      <c r="F5" s="46" t="s">
        <v>341</v>
      </c>
      <c r="Q5" s="20" t="s">
        <v>388</v>
      </c>
      <c r="T5" s="6" t="s">
        <v>1739</v>
      </c>
      <c r="AA5" s="20" t="s">
        <v>343</v>
      </c>
      <c r="AD5" s="20" t="s">
        <v>355</v>
      </c>
      <c r="AK5" t="s">
        <v>340</v>
      </c>
      <c r="AL5" t="s">
        <v>340</v>
      </c>
    </row>
    <row r="6" spans="1:38" x14ac:dyDescent="0.25">
      <c r="T6" s="28" t="s">
        <v>1747</v>
      </c>
      <c r="AK6" t="s">
        <v>340</v>
      </c>
      <c r="AL6" t="s">
        <v>340</v>
      </c>
    </row>
    <row r="7" spans="1:38" x14ac:dyDescent="0.25">
      <c r="A7" s="18" t="s">
        <v>333</v>
      </c>
    </row>
    <row r="8" spans="1:38" x14ac:dyDescent="0.25">
      <c r="A8" s="13" t="s">
        <v>402</v>
      </c>
      <c r="Q8" s="3"/>
      <c r="R8" s="2"/>
    </row>
    <row r="9" spans="1:38" x14ac:dyDescent="0.25">
      <c r="A9" s="17" t="s">
        <v>593</v>
      </c>
      <c r="Z9" t="s">
        <v>1748</v>
      </c>
    </row>
    <row r="10" spans="1:38" x14ac:dyDescent="0.25">
      <c r="A10" s="2" t="s">
        <v>884</v>
      </c>
    </row>
    <row r="11" spans="1:38" x14ac:dyDescent="0.25">
      <c r="A11" t="s">
        <v>1025</v>
      </c>
    </row>
    <row r="13" spans="1:38" x14ac:dyDescent="0.25">
      <c r="A13" t="s">
        <v>1749</v>
      </c>
      <c r="B13" s="7" t="s">
        <v>1750</v>
      </c>
      <c r="D13" s="15" t="s">
        <v>472</v>
      </c>
      <c r="E13" s="11" t="s">
        <v>1751</v>
      </c>
      <c r="F13" s="11" t="s">
        <v>1751</v>
      </c>
      <c r="G13" s="9" t="s">
        <v>407</v>
      </c>
      <c r="H13" s="7" t="s">
        <v>405</v>
      </c>
      <c r="I13" s="9" t="s">
        <v>416</v>
      </c>
      <c r="J13" s="9" t="s">
        <v>409</v>
      </c>
      <c r="K13" s="9" t="s">
        <v>410</v>
      </c>
      <c r="L13" s="43" t="s">
        <v>658</v>
      </c>
      <c r="M13" s="9" t="s">
        <v>412</v>
      </c>
      <c r="N13" s="15" t="s">
        <v>1751</v>
      </c>
      <c r="O13" s="9" t="s">
        <v>414</v>
      </c>
      <c r="Q13" s="31" t="s">
        <v>1752</v>
      </c>
      <c r="R13" s="9" t="s">
        <v>417</v>
      </c>
      <c r="S13" s="15" t="s">
        <v>415</v>
      </c>
      <c r="U13" s="31" t="s">
        <v>1752</v>
      </c>
      <c r="V13" s="15" t="s">
        <v>1753</v>
      </c>
      <c r="W13" s="8" t="s">
        <v>578</v>
      </c>
      <c r="X13" s="8" t="s">
        <v>578</v>
      </c>
      <c r="AA13" s="15" t="s">
        <v>405</v>
      </c>
      <c r="AC13" s="9" t="s">
        <v>426</v>
      </c>
      <c r="AD13" s="15" t="s">
        <v>415</v>
      </c>
      <c r="AE13" s="9" t="s">
        <v>426</v>
      </c>
      <c r="AF13" s="9" t="s">
        <v>427</v>
      </c>
      <c r="AG13" s="9" t="s">
        <v>427</v>
      </c>
      <c r="AK13" s="4" t="s">
        <v>1754</v>
      </c>
      <c r="AL13" t="s">
        <v>445</v>
      </c>
    </row>
    <row r="14" spans="1:38" x14ac:dyDescent="0.25">
      <c r="A14" t="s">
        <v>1755</v>
      </c>
      <c r="B14" s="8" t="s">
        <v>1756</v>
      </c>
      <c r="D14" s="16" t="s">
        <v>596</v>
      </c>
      <c r="E14" s="15" t="s">
        <v>417</v>
      </c>
      <c r="F14" s="9" t="s">
        <v>426</v>
      </c>
      <c r="H14" s="9" t="s">
        <v>1757</v>
      </c>
      <c r="I14" s="45" t="s">
        <v>520</v>
      </c>
      <c r="J14" s="9" t="s">
        <v>416</v>
      </c>
      <c r="K14" s="9" t="s">
        <v>417</v>
      </c>
      <c r="L14" s="15" t="s">
        <v>448</v>
      </c>
      <c r="M14" s="30" t="s">
        <v>1758</v>
      </c>
      <c r="N14" s="15" t="s">
        <v>412</v>
      </c>
      <c r="O14" s="9" t="s">
        <v>1759</v>
      </c>
      <c r="Q14" s="15" t="s">
        <v>448</v>
      </c>
      <c r="R14" s="45" t="s">
        <v>507</v>
      </c>
      <c r="S14" s="64" t="s">
        <v>1760</v>
      </c>
      <c r="U14" s="30" t="s">
        <v>1758</v>
      </c>
      <c r="V14" s="15" t="s">
        <v>415</v>
      </c>
      <c r="AD14" s="15" t="s">
        <v>1752</v>
      </c>
      <c r="AE14" s="9" t="s">
        <v>417</v>
      </c>
      <c r="AF14" s="8" t="s">
        <v>450</v>
      </c>
      <c r="AG14" s="8" t="s">
        <v>464</v>
      </c>
      <c r="AK14" t="s">
        <v>1761</v>
      </c>
      <c r="AL14" t="s">
        <v>1762</v>
      </c>
    </row>
    <row r="15" spans="1:38" x14ac:dyDescent="0.25">
      <c r="A15" t="s">
        <v>1746</v>
      </c>
      <c r="B15" s="42" t="s">
        <v>1763</v>
      </c>
      <c r="D15" s="45" t="s">
        <v>520</v>
      </c>
      <c r="E15" s="15" t="s">
        <v>472</v>
      </c>
      <c r="F15" s="9" t="s">
        <v>481</v>
      </c>
      <c r="H15" s="16" t="s">
        <v>596</v>
      </c>
      <c r="I15" s="15" t="s">
        <v>1759</v>
      </c>
      <c r="J15" s="9" t="s">
        <v>483</v>
      </c>
      <c r="K15" s="8" t="s">
        <v>462</v>
      </c>
      <c r="L15" s="9" t="s">
        <v>500</v>
      </c>
      <c r="M15" s="9" t="s">
        <v>500</v>
      </c>
      <c r="Q15" s="15" t="s">
        <v>417</v>
      </c>
      <c r="U15" s="8" t="s">
        <v>1764</v>
      </c>
      <c r="AF15" s="8" t="s">
        <v>454</v>
      </c>
      <c r="AG15" s="8" t="s">
        <v>450</v>
      </c>
      <c r="AK15" t="s">
        <v>475</v>
      </c>
    </row>
    <row r="16" spans="1:38" x14ac:dyDescent="0.25">
      <c r="B16" s="25" t="s">
        <v>1765</v>
      </c>
      <c r="E16" s="45" t="s">
        <v>485</v>
      </c>
      <c r="F16" s="29" t="s">
        <v>1765</v>
      </c>
      <c r="H16" s="8" t="s">
        <v>482</v>
      </c>
      <c r="I16" s="8" t="s">
        <v>482</v>
      </c>
      <c r="J16" s="8" t="s">
        <v>420</v>
      </c>
      <c r="K16" s="15" t="s">
        <v>501</v>
      </c>
      <c r="M16" s="15" t="s">
        <v>1766</v>
      </c>
      <c r="AK16" s="4" t="s">
        <v>1767</v>
      </c>
    </row>
    <row r="17" spans="1:37" x14ac:dyDescent="0.25">
      <c r="A17" s="18" t="s">
        <v>333</v>
      </c>
      <c r="H17" s="45" t="s">
        <v>1768</v>
      </c>
      <c r="J17" s="45" t="s">
        <v>491</v>
      </c>
      <c r="M17" s="9" t="s">
        <v>484</v>
      </c>
      <c r="AK17" t="s">
        <v>1769</v>
      </c>
    </row>
    <row r="18" spans="1:37" x14ac:dyDescent="0.25">
      <c r="A18" s="13" t="s">
        <v>402</v>
      </c>
      <c r="H18" s="9" t="s">
        <v>486</v>
      </c>
    </row>
    <row r="19" spans="1:37" x14ac:dyDescent="0.25">
      <c r="A19" s="17" t="s">
        <v>593</v>
      </c>
    </row>
    <row r="20" spans="1:37" x14ac:dyDescent="0.25">
      <c r="A20" s="2" t="s">
        <v>884</v>
      </c>
    </row>
    <row r="21" spans="1:37" x14ac:dyDescent="0.25">
      <c r="A21" t="s">
        <v>1025</v>
      </c>
    </row>
    <row r="23" spans="1:37" x14ac:dyDescent="0.25">
      <c r="A23" t="s">
        <v>1770</v>
      </c>
      <c r="B23" s="10" t="s">
        <v>594</v>
      </c>
      <c r="C23" s="16" t="s">
        <v>598</v>
      </c>
      <c r="D23" s="43" t="s">
        <v>1771</v>
      </c>
      <c r="E23" s="10" t="s">
        <v>597</v>
      </c>
      <c r="F23" s="47" t="s">
        <v>714</v>
      </c>
      <c r="G23" s="19" t="s">
        <v>599</v>
      </c>
      <c r="H23" s="47" t="s">
        <v>742</v>
      </c>
      <c r="I23" s="16" t="s">
        <v>600</v>
      </c>
      <c r="J23" s="22" t="s">
        <v>1772</v>
      </c>
      <c r="K23" s="43" t="s">
        <v>1771</v>
      </c>
      <c r="L23" s="16" t="s">
        <v>1773</v>
      </c>
      <c r="M23" s="22" t="s">
        <v>1774</v>
      </c>
      <c r="N23" s="22" t="s">
        <v>720</v>
      </c>
      <c r="O23" s="22" t="s">
        <v>606</v>
      </c>
      <c r="Q23" s="22" t="s">
        <v>606</v>
      </c>
      <c r="R23" s="22" t="s">
        <v>608</v>
      </c>
      <c r="S23" s="22" t="s">
        <v>600</v>
      </c>
      <c r="T23" s="19" t="s">
        <v>1775</v>
      </c>
      <c r="U23" s="22" t="s">
        <v>606</v>
      </c>
      <c r="V23" s="65" t="s">
        <v>1776</v>
      </c>
      <c r="W23" s="22" t="s">
        <v>611</v>
      </c>
      <c r="X23" s="22" t="s">
        <v>1777</v>
      </c>
      <c r="Z23" s="19" t="s">
        <v>1778</v>
      </c>
      <c r="AD23" s="19" t="s">
        <v>1772</v>
      </c>
      <c r="AE23" s="22" t="s">
        <v>1773</v>
      </c>
      <c r="AF23" s="19" t="s">
        <v>1779</v>
      </c>
      <c r="AK23" s="21" t="s">
        <v>1780</v>
      </c>
    </row>
    <row r="24" spans="1:37" x14ac:dyDescent="0.25">
      <c r="A24" t="s">
        <v>1755</v>
      </c>
      <c r="C24" s="16" t="s">
        <v>641</v>
      </c>
      <c r="E24" s="22" t="s">
        <v>643</v>
      </c>
      <c r="F24" s="43" t="s">
        <v>639</v>
      </c>
      <c r="G24" s="22" t="s">
        <v>611</v>
      </c>
      <c r="H24" s="19" t="s">
        <v>645</v>
      </c>
      <c r="I24" s="22" t="s">
        <v>1772</v>
      </c>
      <c r="J24" s="19" t="s">
        <v>620</v>
      </c>
      <c r="K24" s="21" t="s">
        <v>602</v>
      </c>
      <c r="L24" s="22" t="s">
        <v>1781</v>
      </c>
      <c r="N24" s="22" t="s">
        <v>720</v>
      </c>
      <c r="Q24" s="22" t="s">
        <v>650</v>
      </c>
      <c r="R24" s="50" t="s">
        <v>746</v>
      </c>
      <c r="S24" s="22" t="s">
        <v>1774</v>
      </c>
      <c r="T24" s="19" t="s">
        <v>597</v>
      </c>
      <c r="U24" s="22" t="s">
        <v>1774</v>
      </c>
      <c r="V24" s="22" t="s">
        <v>611</v>
      </c>
      <c r="W24" s="19" t="s">
        <v>1782</v>
      </c>
      <c r="X24" s="19" t="s">
        <v>1772</v>
      </c>
      <c r="Z24" s="21" t="s">
        <v>1783</v>
      </c>
      <c r="AE24" s="19" t="s">
        <v>1784</v>
      </c>
      <c r="AF24" s="19" t="s">
        <v>1778</v>
      </c>
    </row>
    <row r="25" spans="1:37" x14ac:dyDescent="0.25">
      <c r="A25" t="s">
        <v>1785</v>
      </c>
      <c r="C25" s="19" t="s">
        <v>621</v>
      </c>
      <c r="E25" s="43" t="s">
        <v>871</v>
      </c>
      <c r="F25" s="43" t="s">
        <v>1786</v>
      </c>
      <c r="G25" s="22" t="s">
        <v>600</v>
      </c>
      <c r="H25" s="19" t="s">
        <v>672</v>
      </c>
      <c r="I25" s="19" t="s">
        <v>673</v>
      </c>
      <c r="J25" s="50" t="s">
        <v>594</v>
      </c>
      <c r="K25" s="30" t="s">
        <v>1787</v>
      </c>
      <c r="R25" s="19" t="s">
        <v>611</v>
      </c>
      <c r="T25" s="19" t="s">
        <v>1788</v>
      </c>
      <c r="U25" s="43" t="s">
        <v>1789</v>
      </c>
      <c r="W25" s="21" t="s">
        <v>680</v>
      </c>
      <c r="X25" s="21" t="s">
        <v>680</v>
      </c>
      <c r="Z25" s="22" t="s">
        <v>1790</v>
      </c>
      <c r="AD25" s="17"/>
      <c r="AE25" s="17"/>
      <c r="AF25" s="66"/>
    </row>
    <row r="26" spans="1:37" x14ac:dyDescent="0.25">
      <c r="E26" s="21" t="s">
        <v>1777</v>
      </c>
      <c r="F26" s="43" t="s">
        <v>1771</v>
      </c>
      <c r="I26" s="27" t="s">
        <v>757</v>
      </c>
      <c r="R26" s="43" t="s">
        <v>639</v>
      </c>
      <c r="T26" s="19" t="s">
        <v>702</v>
      </c>
      <c r="Z26" s="21" t="s">
        <v>1791</v>
      </c>
    </row>
    <row r="27" spans="1:37" x14ac:dyDescent="0.25">
      <c r="A27" s="18" t="s">
        <v>333</v>
      </c>
      <c r="F27" s="43" t="s">
        <v>598</v>
      </c>
      <c r="I27" s="62" t="s">
        <v>1792</v>
      </c>
      <c r="R27" s="19" t="s">
        <v>674</v>
      </c>
      <c r="T27" s="19" t="s">
        <v>723</v>
      </c>
    </row>
    <row r="28" spans="1:37" x14ac:dyDescent="0.25">
      <c r="A28" s="13" t="s">
        <v>402</v>
      </c>
      <c r="F28" s="21" t="s">
        <v>644</v>
      </c>
      <c r="R28" s="21" t="s">
        <v>650</v>
      </c>
    </row>
    <row r="29" spans="1:37" x14ac:dyDescent="0.25">
      <c r="A29" s="17" t="s">
        <v>593</v>
      </c>
      <c r="F29" s="43" t="s">
        <v>637</v>
      </c>
      <c r="R29" s="50" t="s">
        <v>654</v>
      </c>
    </row>
    <row r="30" spans="1:37" x14ac:dyDescent="0.25">
      <c r="A30" s="2" t="s">
        <v>884</v>
      </c>
      <c r="F30" s="43" t="s">
        <v>1793</v>
      </c>
    </row>
    <row r="31" spans="1:37" x14ac:dyDescent="0.25">
      <c r="A31" t="s">
        <v>1025</v>
      </c>
      <c r="F31" s="50" t="s">
        <v>1794</v>
      </c>
    </row>
    <row r="32" spans="1:37" x14ac:dyDescent="0.25">
      <c r="Q32" s="13"/>
    </row>
    <row r="33" spans="1:36" x14ac:dyDescent="0.25">
      <c r="A33" t="s">
        <v>1795</v>
      </c>
      <c r="B33" s="12" t="s">
        <v>885</v>
      </c>
      <c r="C33" s="25" t="s">
        <v>886</v>
      </c>
      <c r="D33" s="23" t="s">
        <v>909</v>
      </c>
      <c r="E33" s="60" t="s">
        <v>969</v>
      </c>
      <c r="G33" s="29" t="s">
        <v>885</v>
      </c>
      <c r="H33" s="25" t="s">
        <v>909</v>
      </c>
      <c r="J33" s="25" t="s">
        <v>886</v>
      </c>
      <c r="K33" s="23" t="s">
        <v>891</v>
      </c>
      <c r="L33" s="25" t="s">
        <v>892</v>
      </c>
      <c r="M33" s="23" t="s">
        <v>892</v>
      </c>
      <c r="N33" s="29" t="s">
        <v>1796</v>
      </c>
      <c r="O33" s="29" t="s">
        <v>894</v>
      </c>
      <c r="P33" s="29" t="s">
        <v>989</v>
      </c>
      <c r="Q33" s="13"/>
      <c r="R33" s="44" t="s">
        <v>909</v>
      </c>
      <c r="S33" s="63" t="s">
        <v>1797</v>
      </c>
      <c r="T33" s="48" t="s">
        <v>969</v>
      </c>
      <c r="U33" s="24" t="s">
        <v>894</v>
      </c>
      <c r="V33" s="23" t="s">
        <v>1798</v>
      </c>
      <c r="W33" s="23" t="s">
        <v>901</v>
      </c>
      <c r="Z33" s="29" t="s">
        <v>917</v>
      </c>
      <c r="AA33" s="23" t="s">
        <v>614</v>
      </c>
      <c r="AC33" s="68" t="s">
        <v>1799</v>
      </c>
      <c r="AD33" s="23" t="s">
        <v>905</v>
      </c>
      <c r="AE33" s="24" t="s">
        <v>894</v>
      </c>
      <c r="AF33" s="2"/>
      <c r="AG33" s="23" t="s">
        <v>1800</v>
      </c>
      <c r="AH33" s="2"/>
      <c r="AI33" s="2"/>
      <c r="AJ33" s="2"/>
    </row>
    <row r="34" spans="1:36" x14ac:dyDescent="0.25">
      <c r="A34" t="s">
        <v>1801</v>
      </c>
      <c r="B34" s="24" t="s">
        <v>923</v>
      </c>
      <c r="D34" s="44" t="s">
        <v>1802</v>
      </c>
      <c r="J34" s="48" t="s">
        <v>989</v>
      </c>
      <c r="K34" s="23" t="s">
        <v>888</v>
      </c>
      <c r="L34" s="60" t="s">
        <v>1803</v>
      </c>
      <c r="M34" s="57"/>
      <c r="P34" s="29" t="s">
        <v>930</v>
      </c>
      <c r="Q34" s="13"/>
      <c r="R34" s="44" t="s">
        <v>1804</v>
      </c>
      <c r="U34" s="44" t="s">
        <v>1805</v>
      </c>
      <c r="V34" s="23" t="s">
        <v>888</v>
      </c>
      <c r="AA34" s="29" t="s">
        <v>903</v>
      </c>
      <c r="AH34" s="2"/>
      <c r="AI34" s="2"/>
      <c r="AJ34" s="2"/>
    </row>
    <row r="35" spans="1:36" x14ac:dyDescent="0.25">
      <c r="A35" t="s">
        <v>1806</v>
      </c>
    </row>
    <row r="37" spans="1:36" x14ac:dyDescent="0.25">
      <c r="A37" s="18" t="s">
        <v>333</v>
      </c>
    </row>
    <row r="38" spans="1:36" x14ac:dyDescent="0.25">
      <c r="A38" s="13" t="s">
        <v>402</v>
      </c>
    </row>
    <row r="39" spans="1:36" x14ac:dyDescent="0.25">
      <c r="A39" s="17" t="s">
        <v>593</v>
      </c>
    </row>
    <row r="40" spans="1:36" x14ac:dyDescent="0.25">
      <c r="A40" s="2" t="s">
        <v>884</v>
      </c>
    </row>
    <row r="41" spans="1:36" x14ac:dyDescent="0.25">
      <c r="A41" t="s">
        <v>1025</v>
      </c>
    </row>
    <row r="43" spans="1:36" x14ac:dyDescent="0.25">
      <c r="A43" t="s">
        <v>1807</v>
      </c>
    </row>
    <row r="44" spans="1:36" x14ac:dyDescent="0.25">
      <c r="A44" t="s">
        <v>1808</v>
      </c>
    </row>
    <row r="45" spans="1:36" x14ac:dyDescent="0.25">
      <c r="A45" t="s">
        <v>1746</v>
      </c>
    </row>
    <row r="47" spans="1:36" x14ac:dyDescent="0.25">
      <c r="A47" s="18" t="s">
        <v>333</v>
      </c>
    </row>
    <row r="48" spans="1:36" x14ac:dyDescent="0.25">
      <c r="A48" s="13" t="s">
        <v>402</v>
      </c>
    </row>
    <row r="49" spans="1:33" x14ac:dyDescent="0.25">
      <c r="A49" s="17" t="s">
        <v>593</v>
      </c>
    </row>
    <row r="50" spans="1:33" x14ac:dyDescent="0.25">
      <c r="A50" s="2" t="s">
        <v>884</v>
      </c>
    </row>
    <row r="51" spans="1:33" x14ac:dyDescent="0.25">
      <c r="A51" t="s">
        <v>1025</v>
      </c>
    </row>
    <row r="53" spans="1:33" x14ac:dyDescent="0.25">
      <c r="A53" t="s">
        <v>1809</v>
      </c>
      <c r="B53" s="8" t="s">
        <v>479</v>
      </c>
      <c r="C53" s="50" t="s">
        <v>615</v>
      </c>
      <c r="E53" s="15" t="s">
        <v>479</v>
      </c>
      <c r="I53" s="15" t="s">
        <v>479</v>
      </c>
      <c r="AC53" s="22" t="s">
        <v>615</v>
      </c>
      <c r="AG53" s="19" t="s">
        <v>615</v>
      </c>
    </row>
    <row r="54" spans="1:33" x14ac:dyDescent="0.25">
      <c r="A54" t="s">
        <v>1801</v>
      </c>
      <c r="C54" s="2"/>
    </row>
    <row r="55" spans="1:33" x14ac:dyDescent="0.25">
      <c r="A55" t="s">
        <v>1785</v>
      </c>
      <c r="X55" s="4"/>
    </row>
    <row r="57" spans="1:33" x14ac:dyDescent="0.25">
      <c r="A57" s="18" t="s">
        <v>333</v>
      </c>
    </row>
    <row r="58" spans="1:33" x14ac:dyDescent="0.25">
      <c r="A58" s="13" t="s">
        <v>402</v>
      </c>
    </row>
    <row r="59" spans="1:33" x14ac:dyDescent="0.25">
      <c r="A59" s="17" t="s">
        <v>593</v>
      </c>
    </row>
    <row r="60" spans="1:33" x14ac:dyDescent="0.25">
      <c r="A60" s="2" t="s">
        <v>884</v>
      </c>
    </row>
    <row r="61" spans="1:33" x14ac:dyDescent="0.25">
      <c r="A61" t="s">
        <v>1025</v>
      </c>
    </row>
    <row r="63" spans="1:33" x14ac:dyDescent="0.25">
      <c r="A63" t="s">
        <v>1810</v>
      </c>
      <c r="C63" s="25" t="s">
        <v>957</v>
      </c>
      <c r="L63" s="48" t="s">
        <v>1811</v>
      </c>
      <c r="AC63" s="48" t="s">
        <v>957</v>
      </c>
    </row>
    <row r="64" spans="1:33" x14ac:dyDescent="0.25">
      <c r="A64" t="s">
        <v>1812</v>
      </c>
    </row>
    <row r="65" spans="1:34" x14ac:dyDescent="0.25">
      <c r="A65" t="s">
        <v>1806</v>
      </c>
    </row>
    <row r="67" spans="1:34" x14ac:dyDescent="0.25">
      <c r="A67" s="18" t="s">
        <v>333</v>
      </c>
    </row>
    <row r="68" spans="1:34" x14ac:dyDescent="0.25">
      <c r="A68" s="13" t="s">
        <v>402</v>
      </c>
    </row>
    <row r="69" spans="1:34" x14ac:dyDescent="0.25">
      <c r="A69" s="17" t="s">
        <v>593</v>
      </c>
    </row>
    <row r="70" spans="1:34" x14ac:dyDescent="0.25">
      <c r="A70" s="2" t="s">
        <v>884</v>
      </c>
    </row>
    <row r="71" spans="1:34" x14ac:dyDescent="0.25">
      <c r="A71" t="s">
        <v>1025</v>
      </c>
    </row>
    <row r="73" spans="1:34" x14ac:dyDescent="0.25">
      <c r="A73" t="s">
        <v>1813</v>
      </c>
      <c r="C73" s="25" t="s">
        <v>910</v>
      </c>
      <c r="D73" s="23" t="s">
        <v>910</v>
      </c>
      <c r="E73" s="29" t="s">
        <v>951</v>
      </c>
      <c r="G73" s="23" t="s">
        <v>893</v>
      </c>
      <c r="P73" s="23" t="s">
        <v>893</v>
      </c>
      <c r="Q73" s="23" t="s">
        <v>896</v>
      </c>
      <c r="AA73" s="29" t="s">
        <v>931</v>
      </c>
      <c r="AB73" s="29" t="s">
        <v>893</v>
      </c>
      <c r="AC73" s="29" t="s">
        <v>1814</v>
      </c>
      <c r="AH73" s="29" t="s">
        <v>907</v>
      </c>
    </row>
    <row r="74" spans="1:34" x14ac:dyDescent="0.25">
      <c r="A74" t="s">
        <v>1812</v>
      </c>
    </row>
    <row r="75" spans="1:34" x14ac:dyDescent="0.25">
      <c r="A75" t="s">
        <v>1806</v>
      </c>
    </row>
    <row r="77" spans="1:34" x14ac:dyDescent="0.25">
      <c r="A77" s="18" t="s">
        <v>333</v>
      </c>
    </row>
    <row r="78" spans="1:34" x14ac:dyDescent="0.25">
      <c r="A78" s="13" t="s">
        <v>402</v>
      </c>
    </row>
    <row r="79" spans="1:34" x14ac:dyDescent="0.25">
      <c r="A79" s="17" t="s">
        <v>593</v>
      </c>
    </row>
    <row r="80" spans="1:34" x14ac:dyDescent="0.25">
      <c r="A80" s="2" t="s">
        <v>884</v>
      </c>
    </row>
    <row r="81" spans="1:33" x14ac:dyDescent="0.25">
      <c r="A81" t="s">
        <v>1025</v>
      </c>
      <c r="S81" t="s">
        <v>1031</v>
      </c>
      <c r="T81" t="s">
        <v>1032</v>
      </c>
      <c r="V81" t="s">
        <v>1033</v>
      </c>
      <c r="AA81" t="s">
        <v>1036</v>
      </c>
      <c r="AC81" t="s">
        <v>1029</v>
      </c>
      <c r="AD81" t="s">
        <v>1034</v>
      </c>
      <c r="AF81" t="s">
        <v>1039</v>
      </c>
      <c r="AG81" t="s">
        <v>1034</v>
      </c>
    </row>
    <row r="82" spans="1:33" x14ac:dyDescent="0.25">
      <c r="S82" t="s">
        <v>1815</v>
      </c>
      <c r="T82" t="s">
        <v>1055</v>
      </c>
      <c r="AF82" t="s">
        <v>1030</v>
      </c>
      <c r="AG82" t="s">
        <v>1030</v>
      </c>
    </row>
    <row r="83" spans="1:33" x14ac:dyDescent="0.25">
      <c r="A83" t="s">
        <v>1126</v>
      </c>
      <c r="F83" t="s">
        <v>1816</v>
      </c>
      <c r="S83" t="s">
        <v>1043</v>
      </c>
      <c r="T83" t="s">
        <v>1042</v>
      </c>
      <c r="AF83" t="s">
        <v>1036</v>
      </c>
      <c r="AG83" t="s">
        <v>1073</v>
      </c>
    </row>
    <row r="84" spans="1:33" x14ac:dyDescent="0.25">
      <c r="AF84" t="s">
        <v>1083</v>
      </c>
      <c r="AG84" t="s">
        <v>1083</v>
      </c>
    </row>
    <row r="85" spans="1:33" x14ac:dyDescent="0.25">
      <c r="AF85" t="s">
        <v>1073</v>
      </c>
      <c r="AG85" t="s">
        <v>1031</v>
      </c>
    </row>
    <row r="86" spans="1:33" x14ac:dyDescent="0.25">
      <c r="AF86" t="s">
        <v>1031</v>
      </c>
      <c r="AG86" t="s">
        <v>1031</v>
      </c>
    </row>
    <row r="87" spans="1:33" x14ac:dyDescent="0.25">
      <c r="A87" s="18" t="s">
        <v>333</v>
      </c>
      <c r="AF87" t="s">
        <v>1031</v>
      </c>
    </row>
    <row r="88" spans="1:33" x14ac:dyDescent="0.25">
      <c r="A88" s="13" t="s">
        <v>402</v>
      </c>
    </row>
    <row r="89" spans="1:33" x14ac:dyDescent="0.25">
      <c r="A89" s="17" t="s">
        <v>593</v>
      </c>
    </row>
    <row r="90" spans="1:33" x14ac:dyDescent="0.25">
      <c r="A90" s="2" t="s">
        <v>884</v>
      </c>
    </row>
    <row r="91" spans="1:33" x14ac:dyDescent="0.25">
      <c r="A91" t="s">
        <v>1025</v>
      </c>
    </row>
    <row r="93" spans="1:33" x14ac:dyDescent="0.25">
      <c r="A93" t="s">
        <v>1132</v>
      </c>
      <c r="B93" s="13" t="s">
        <v>1133</v>
      </c>
      <c r="C93" s="13" t="s">
        <v>1134</v>
      </c>
      <c r="D93" s="18" t="s">
        <v>1817</v>
      </c>
      <c r="E93" s="26" t="s">
        <v>1136</v>
      </c>
      <c r="F93" s="13" t="s">
        <v>1134</v>
      </c>
      <c r="G93" s="13" t="s">
        <v>1137</v>
      </c>
      <c r="H93" s="13" t="s">
        <v>1135</v>
      </c>
      <c r="I93" s="13" t="s">
        <v>1137</v>
      </c>
      <c r="J93" s="13" t="s">
        <v>1137</v>
      </c>
      <c r="K93" s="13" t="s">
        <v>1134</v>
      </c>
      <c r="L93" s="13" t="s">
        <v>1134</v>
      </c>
      <c r="M93" s="13" t="s">
        <v>1135</v>
      </c>
      <c r="O93" s="13" t="s">
        <v>1134</v>
      </c>
      <c r="Q93" s="13" t="s">
        <v>1134</v>
      </c>
      <c r="R93" s="13" t="s">
        <v>1138</v>
      </c>
      <c r="S93" s="13" t="s">
        <v>1137</v>
      </c>
      <c r="T93" s="13" t="s">
        <v>1136</v>
      </c>
      <c r="V93" s="13" t="s">
        <v>1135</v>
      </c>
      <c r="AA93" s="17" t="s">
        <v>1128</v>
      </c>
      <c r="AD93" s="13" t="s">
        <v>1134</v>
      </c>
      <c r="AE93" s="13" t="s">
        <v>1134</v>
      </c>
      <c r="AF93" s="13"/>
      <c r="AG93" t="s">
        <v>921</v>
      </c>
    </row>
    <row r="94" spans="1:33" x14ac:dyDescent="0.25">
      <c r="B94" s="14" t="s">
        <v>931</v>
      </c>
      <c r="C94" s="13" t="s">
        <v>1139</v>
      </c>
      <c r="G94" s="13" t="s">
        <v>1135</v>
      </c>
      <c r="H94" s="14"/>
      <c r="I94" s="14" t="s">
        <v>931</v>
      </c>
      <c r="L94" s="13" t="s">
        <v>1135</v>
      </c>
      <c r="P94" s="14" t="s">
        <v>931</v>
      </c>
      <c r="R94" s="13" t="s">
        <v>1134</v>
      </c>
      <c r="S94" s="14" t="s">
        <v>931</v>
      </c>
      <c r="V94" s="13" t="s">
        <v>1133</v>
      </c>
      <c r="AA94" s="13" t="s">
        <v>1135</v>
      </c>
    </row>
    <row r="95" spans="1:33" x14ac:dyDescent="0.25">
      <c r="V95" s="13" t="s">
        <v>1142</v>
      </c>
    </row>
    <row r="97" spans="1:28" x14ac:dyDescent="0.25">
      <c r="A97" s="18" t="s">
        <v>333</v>
      </c>
    </row>
    <row r="98" spans="1:28" x14ac:dyDescent="0.25">
      <c r="A98" s="13" t="s">
        <v>402</v>
      </c>
    </row>
    <row r="99" spans="1:28" x14ac:dyDescent="0.25">
      <c r="A99" s="17" t="s">
        <v>593</v>
      </c>
    </row>
    <row r="100" spans="1:28" x14ac:dyDescent="0.25">
      <c r="A100" s="2" t="s">
        <v>884</v>
      </c>
    </row>
    <row r="101" spans="1:28" x14ac:dyDescent="0.25">
      <c r="A101" t="s">
        <v>1025</v>
      </c>
    </row>
    <row r="103" spans="1:28" x14ac:dyDescent="0.25">
      <c r="A103" t="s">
        <v>1818</v>
      </c>
      <c r="D103" s="13" t="s">
        <v>405</v>
      </c>
      <c r="F103" s="49" t="s">
        <v>654</v>
      </c>
      <c r="J103" s="17" t="s">
        <v>1784</v>
      </c>
      <c r="M103" s="2"/>
      <c r="N103" s="13" t="s">
        <v>415</v>
      </c>
      <c r="Q103" s="13"/>
      <c r="S103" s="17" t="s">
        <v>644</v>
      </c>
      <c r="X103" s="32" t="s">
        <v>1819</v>
      </c>
      <c r="Z103" s="18" t="s">
        <v>1820</v>
      </c>
      <c r="AA103" s="34" t="s">
        <v>1821</v>
      </c>
      <c r="AB103" s="32" t="s">
        <v>1822</v>
      </c>
    </row>
    <row r="104" spans="1:28" x14ac:dyDescent="0.25">
      <c r="D104" s="13" t="s">
        <v>1135</v>
      </c>
      <c r="S104" s="57" t="s">
        <v>1823</v>
      </c>
      <c r="AA104" s="57"/>
    </row>
    <row r="105" spans="1:28" x14ac:dyDescent="0.25">
      <c r="S105" s="2" t="s">
        <v>901</v>
      </c>
    </row>
    <row r="107" spans="1:28" x14ac:dyDescent="0.25">
      <c r="A107" s="18" t="s">
        <v>333</v>
      </c>
    </row>
    <row r="108" spans="1:28" x14ac:dyDescent="0.25">
      <c r="A108" s="13" t="s">
        <v>402</v>
      </c>
    </row>
    <row r="109" spans="1:28" x14ac:dyDescent="0.25">
      <c r="A109" s="17" t="s">
        <v>593</v>
      </c>
    </row>
    <row r="110" spans="1:28" x14ac:dyDescent="0.25">
      <c r="A110" s="2" t="s">
        <v>884</v>
      </c>
    </row>
    <row r="111" spans="1:28" x14ac:dyDescent="0.25">
      <c r="A111" t="s">
        <v>1025</v>
      </c>
    </row>
  </sheetData>
  <phoneticPr fontId="26" type="noConversion"/>
  <pageMargins left="0.7" right="0.7" top="0.75" bottom="0.75" header="0.3" footer="0.3"/>
  <pageSetup scale="1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95"/>
  <sheetViews>
    <sheetView workbookViewId="0">
      <pane xSplit="1" ySplit="6" topLeftCell="O7" activePane="bottomRight" state="frozen"/>
      <selection pane="topRight" activeCell="B1" sqref="B1"/>
      <selection pane="bottomLeft" activeCell="A3" sqref="A3"/>
      <selection pane="bottomRight" activeCell="U7" sqref="U7"/>
    </sheetView>
  </sheetViews>
  <sheetFormatPr defaultRowHeight="15" x14ac:dyDescent="0.25"/>
  <cols>
    <col min="1" max="1" width="12" bestFit="1" customWidth="1"/>
    <col min="2" max="2" width="8.85546875" bestFit="1" customWidth="1"/>
    <col min="3" max="3" width="17.5703125" bestFit="1" customWidth="1"/>
    <col min="4" max="5" width="6.85546875" bestFit="1" customWidth="1"/>
    <col min="6" max="6" width="7.28515625" bestFit="1" customWidth="1"/>
    <col min="7" max="7" width="6.140625" bestFit="1" customWidth="1"/>
    <col min="8" max="8" width="28.28515625" bestFit="1" customWidth="1"/>
    <col min="9" max="9" width="22.5703125" bestFit="1" customWidth="1"/>
    <col min="10" max="11" width="26.28515625" bestFit="1" customWidth="1"/>
    <col min="12" max="13" width="28.28515625" bestFit="1" customWidth="1"/>
    <col min="14" max="14" width="8.140625" bestFit="1" customWidth="1"/>
    <col min="15" max="15" width="22.28515625" bestFit="1" customWidth="1"/>
    <col min="16" max="16" width="10.28515625" bestFit="1" customWidth="1"/>
    <col min="17" max="17" width="28.28515625" bestFit="1" customWidth="1"/>
    <col min="18" max="18" width="9" bestFit="1" customWidth="1"/>
    <col min="19" max="19" width="36.5703125" bestFit="1" customWidth="1"/>
    <col min="20" max="20" width="36.42578125" bestFit="1" customWidth="1"/>
    <col min="21" max="21" width="7.5703125" bestFit="1" customWidth="1"/>
    <col min="22" max="22" width="17.28515625" bestFit="1" customWidth="1"/>
    <col min="23" max="23" width="19.140625" bestFit="1" customWidth="1"/>
    <col min="24" max="24" width="23.85546875" bestFit="1" customWidth="1"/>
    <col min="25" max="25" width="3.28515625" bestFit="1" customWidth="1"/>
    <col min="26" max="26" width="14.28515625" bestFit="1" customWidth="1"/>
    <col min="27" max="27" width="39.5703125" bestFit="1" customWidth="1"/>
    <col min="28" max="28" width="28" bestFit="1" customWidth="1"/>
    <col min="29" max="29" width="33" bestFit="1" customWidth="1"/>
  </cols>
  <sheetData>
    <row r="1" spans="1:30" x14ac:dyDescent="0.25">
      <c r="A1" t="s">
        <v>1824</v>
      </c>
      <c r="Q1" t="s">
        <v>1825</v>
      </c>
    </row>
    <row r="2" spans="1:30" x14ac:dyDescent="0.25">
      <c r="A2" t="s">
        <v>1826</v>
      </c>
      <c r="B2">
        <v>0</v>
      </c>
      <c r="C2">
        <v>0</v>
      </c>
      <c r="D2">
        <v>0</v>
      </c>
      <c r="E2">
        <v>0</v>
      </c>
      <c r="F2">
        <v>0</v>
      </c>
      <c r="G2">
        <v>0</v>
      </c>
      <c r="H2">
        <v>0</v>
      </c>
      <c r="I2">
        <v>0</v>
      </c>
      <c r="J2">
        <v>0</v>
      </c>
      <c r="K2">
        <v>0</v>
      </c>
      <c r="V2">
        <v>6</v>
      </c>
      <c r="W2">
        <v>6</v>
      </c>
      <c r="Z2">
        <v>2</v>
      </c>
      <c r="AB2">
        <v>8</v>
      </c>
    </row>
    <row r="3" spans="1:30" x14ac:dyDescent="0.25">
      <c r="A3" t="s">
        <v>1827</v>
      </c>
      <c r="B3">
        <v>0</v>
      </c>
      <c r="C3">
        <v>0</v>
      </c>
      <c r="D3">
        <v>0</v>
      </c>
      <c r="E3">
        <v>0</v>
      </c>
      <c r="F3">
        <v>0</v>
      </c>
      <c r="G3">
        <v>0</v>
      </c>
      <c r="H3">
        <v>0</v>
      </c>
      <c r="I3">
        <v>0</v>
      </c>
      <c r="J3">
        <v>0</v>
      </c>
      <c r="K3">
        <v>0</v>
      </c>
      <c r="O3">
        <v>4</v>
      </c>
      <c r="S3">
        <v>28</v>
      </c>
      <c r="W3">
        <v>13</v>
      </c>
      <c r="AA3">
        <v>2</v>
      </c>
      <c r="AC3">
        <v>14</v>
      </c>
    </row>
    <row r="4" spans="1:30" x14ac:dyDescent="0.25">
      <c r="A4" t="s">
        <v>1828</v>
      </c>
      <c r="B4">
        <v>0</v>
      </c>
      <c r="C4">
        <v>0</v>
      </c>
      <c r="D4">
        <v>0</v>
      </c>
      <c r="E4">
        <v>0</v>
      </c>
      <c r="F4">
        <v>0</v>
      </c>
      <c r="G4">
        <v>0</v>
      </c>
      <c r="H4">
        <v>0</v>
      </c>
      <c r="I4">
        <v>0</v>
      </c>
      <c r="J4">
        <v>0</v>
      </c>
      <c r="K4">
        <v>0</v>
      </c>
      <c r="M4">
        <v>0</v>
      </c>
      <c r="N4">
        <v>2</v>
      </c>
      <c r="O4">
        <v>4</v>
      </c>
      <c r="AA4">
        <v>2</v>
      </c>
    </row>
    <row r="5" spans="1:30" x14ac:dyDescent="0.25">
      <c r="A5" t="s">
        <v>1829</v>
      </c>
      <c r="B5">
        <v>0</v>
      </c>
      <c r="C5">
        <v>0</v>
      </c>
      <c r="D5">
        <v>0</v>
      </c>
      <c r="E5">
        <v>0</v>
      </c>
      <c r="F5">
        <v>0</v>
      </c>
      <c r="G5">
        <v>0</v>
      </c>
      <c r="H5">
        <v>0</v>
      </c>
      <c r="I5">
        <v>0</v>
      </c>
      <c r="J5">
        <v>0</v>
      </c>
      <c r="K5">
        <v>0</v>
      </c>
    </row>
    <row r="6" spans="1:30" x14ac:dyDescent="0.25">
      <c r="B6" t="s">
        <v>26</v>
      </c>
      <c r="C6" t="s">
        <v>29</v>
      </c>
      <c r="D6" t="s">
        <v>32</v>
      </c>
      <c r="E6" t="s">
        <v>35</v>
      </c>
      <c r="F6" t="s">
        <v>39</v>
      </c>
      <c r="G6" t="s">
        <v>42</v>
      </c>
      <c r="H6" t="s">
        <v>45</v>
      </c>
      <c r="I6" s="1" t="s">
        <v>74</v>
      </c>
      <c r="J6" t="s">
        <v>47</v>
      </c>
      <c r="K6" t="s">
        <v>49</v>
      </c>
      <c r="L6" t="s">
        <v>63</v>
      </c>
      <c r="M6" t="s">
        <v>78</v>
      </c>
      <c r="N6" t="s">
        <v>323</v>
      </c>
      <c r="O6" t="s">
        <v>80</v>
      </c>
      <c r="P6" s="1" t="s">
        <v>144</v>
      </c>
      <c r="Q6" t="s">
        <v>65</v>
      </c>
      <c r="R6" t="s">
        <v>84</v>
      </c>
      <c r="S6" t="s">
        <v>87</v>
      </c>
      <c r="T6" s="1" t="s">
        <v>53</v>
      </c>
      <c r="U6" s="1" t="s">
        <v>127</v>
      </c>
      <c r="V6" s="1" t="s">
        <v>55</v>
      </c>
      <c r="W6" t="s">
        <v>96</v>
      </c>
      <c r="X6" s="1" t="s">
        <v>111</v>
      </c>
      <c r="Y6" s="1" t="s">
        <v>132</v>
      </c>
      <c r="Z6" t="s">
        <v>140</v>
      </c>
      <c r="AA6" s="1" t="s">
        <v>51</v>
      </c>
      <c r="AB6" s="1" t="s">
        <v>136</v>
      </c>
      <c r="AC6" s="1" t="s">
        <v>109</v>
      </c>
      <c r="AD6" s="1"/>
    </row>
    <row r="7" spans="1:30" x14ac:dyDescent="0.25">
      <c r="A7" t="s">
        <v>1735</v>
      </c>
      <c r="C7" s="18" t="s">
        <v>363</v>
      </c>
      <c r="H7" s="18" t="s">
        <v>343</v>
      </c>
      <c r="I7" s="18" t="s">
        <v>341</v>
      </c>
      <c r="J7" s="53" t="s">
        <v>334</v>
      </c>
      <c r="K7" s="53" t="s">
        <v>334</v>
      </c>
      <c r="L7" s="18" t="s">
        <v>1830</v>
      </c>
      <c r="Q7" s="3"/>
      <c r="AA7" s="17" t="s">
        <v>1831</v>
      </c>
    </row>
    <row r="8" spans="1:30" x14ac:dyDescent="0.25">
      <c r="A8" t="s">
        <v>1743</v>
      </c>
      <c r="C8" s="2"/>
      <c r="H8" s="18" t="s">
        <v>1832</v>
      </c>
      <c r="J8" s="18" t="s">
        <v>1832</v>
      </c>
      <c r="K8" s="18" t="s">
        <v>1833</v>
      </c>
      <c r="L8" s="53" t="s">
        <v>337</v>
      </c>
      <c r="Q8" s="3"/>
      <c r="R8" s="2"/>
      <c r="AA8" s="40" t="s">
        <v>1834</v>
      </c>
    </row>
    <row r="9" spans="1:30" x14ac:dyDescent="0.25">
      <c r="A9" t="s">
        <v>1746</v>
      </c>
      <c r="J9" s="18" t="s">
        <v>1833</v>
      </c>
      <c r="K9" s="18" t="s">
        <v>344</v>
      </c>
      <c r="L9" s="18" t="s">
        <v>344</v>
      </c>
    </row>
    <row r="10" spans="1:30" x14ac:dyDescent="0.25">
      <c r="J10" s="41" t="s">
        <v>342</v>
      </c>
      <c r="K10" s="41" t="s">
        <v>1737</v>
      </c>
      <c r="L10" s="18" t="s">
        <v>1833</v>
      </c>
    </row>
    <row r="11" spans="1:30" x14ac:dyDescent="0.25">
      <c r="A11" s="18" t="s">
        <v>333</v>
      </c>
      <c r="L11" s="18" t="s">
        <v>342</v>
      </c>
    </row>
    <row r="12" spans="1:30" x14ac:dyDescent="0.25">
      <c r="A12" s="13" t="s">
        <v>402</v>
      </c>
    </row>
    <row r="13" spans="1:30" x14ac:dyDescent="0.25">
      <c r="A13" s="17" t="s">
        <v>593</v>
      </c>
    </row>
    <row r="14" spans="1:30" x14ac:dyDescent="0.25">
      <c r="A14" s="2" t="s">
        <v>884</v>
      </c>
    </row>
    <row r="15" spans="1:30" x14ac:dyDescent="0.25">
      <c r="A15" t="s">
        <v>1025</v>
      </c>
    </row>
    <row r="27" spans="1:29" x14ac:dyDescent="0.25">
      <c r="A27" t="s">
        <v>1749</v>
      </c>
      <c r="H27" s="38" t="s">
        <v>525</v>
      </c>
      <c r="I27" s="38" t="s">
        <v>482</v>
      </c>
      <c r="J27" s="34" t="s">
        <v>1741</v>
      </c>
      <c r="K27" s="38" t="s">
        <v>1835</v>
      </c>
      <c r="L27" s="52" t="s">
        <v>417</v>
      </c>
      <c r="M27" s="34" t="s">
        <v>1836</v>
      </c>
      <c r="O27" s="13" t="s">
        <v>495</v>
      </c>
      <c r="Q27" s="52" t="s">
        <v>1837</v>
      </c>
      <c r="X27" s="35"/>
      <c r="AA27" s="38" t="s">
        <v>525</v>
      </c>
      <c r="AC27" s="35"/>
    </row>
    <row r="28" spans="1:29" x14ac:dyDescent="0.25">
      <c r="A28" t="s">
        <v>1755</v>
      </c>
      <c r="K28" s="13" t="s">
        <v>1838</v>
      </c>
      <c r="L28" s="52" t="s">
        <v>548</v>
      </c>
      <c r="M28" s="52" t="s">
        <v>1837</v>
      </c>
      <c r="Q28" s="52" t="s">
        <v>1837</v>
      </c>
      <c r="U28" s="4"/>
      <c r="AA28" s="52" t="s">
        <v>415</v>
      </c>
    </row>
    <row r="29" spans="1:29" x14ac:dyDescent="0.25">
      <c r="A29" t="s">
        <v>1746</v>
      </c>
      <c r="K29" s="34" t="s">
        <v>1839</v>
      </c>
      <c r="L29" s="34" t="s">
        <v>1840</v>
      </c>
      <c r="M29" s="52" t="s">
        <v>525</v>
      </c>
      <c r="Q29" s="13" t="s">
        <v>1841</v>
      </c>
      <c r="AA29" s="52" t="s">
        <v>472</v>
      </c>
    </row>
    <row r="30" spans="1:29" x14ac:dyDescent="0.25">
      <c r="K30" s="38" t="s">
        <v>1837</v>
      </c>
      <c r="L30" s="52" t="s">
        <v>1835</v>
      </c>
      <c r="M30" s="52" t="s">
        <v>1842</v>
      </c>
      <c r="Q30" s="13" t="s">
        <v>1843</v>
      </c>
      <c r="AA30" s="13" t="s">
        <v>1844</v>
      </c>
    </row>
    <row r="31" spans="1:29" x14ac:dyDescent="0.25">
      <c r="A31" s="18" t="s">
        <v>333</v>
      </c>
      <c r="K31" s="13" t="s">
        <v>417</v>
      </c>
      <c r="L31" s="13" t="s">
        <v>1837</v>
      </c>
      <c r="M31" s="52" t="s">
        <v>483</v>
      </c>
      <c r="Q31" s="52" t="s">
        <v>525</v>
      </c>
      <c r="AA31" s="13" t="s">
        <v>1845</v>
      </c>
    </row>
    <row r="32" spans="1:29" x14ac:dyDescent="0.25">
      <c r="A32" s="13" t="s">
        <v>402</v>
      </c>
      <c r="K32" s="13" t="s">
        <v>445</v>
      </c>
      <c r="L32" s="13" t="s">
        <v>484</v>
      </c>
      <c r="Q32" s="13" t="s">
        <v>503</v>
      </c>
      <c r="AA32" s="13" t="s">
        <v>458</v>
      </c>
    </row>
    <row r="33" spans="1:29" x14ac:dyDescent="0.25">
      <c r="A33" s="17" t="s">
        <v>593</v>
      </c>
      <c r="L33" s="61" t="s">
        <v>415</v>
      </c>
      <c r="Q33" s="13" t="s">
        <v>454</v>
      </c>
    </row>
    <row r="34" spans="1:29" x14ac:dyDescent="0.25">
      <c r="A34" s="2" t="s">
        <v>884</v>
      </c>
      <c r="L34" s="13" t="s">
        <v>495</v>
      </c>
      <c r="Q34" s="13" t="s">
        <v>1846</v>
      </c>
    </row>
    <row r="35" spans="1:29" x14ac:dyDescent="0.25">
      <c r="A35" t="s">
        <v>1025</v>
      </c>
      <c r="L35" s="13" t="s">
        <v>454</v>
      </c>
      <c r="Q35" s="52" t="s">
        <v>483</v>
      </c>
    </row>
    <row r="36" spans="1:29" x14ac:dyDescent="0.25">
      <c r="L36" s="38" t="s">
        <v>525</v>
      </c>
      <c r="Q36" s="13" t="s">
        <v>1847</v>
      </c>
    </row>
    <row r="37" spans="1:29" x14ac:dyDescent="0.25">
      <c r="L37" s="13" t="s">
        <v>420</v>
      </c>
      <c r="Q37" s="13" t="s">
        <v>454</v>
      </c>
    </row>
    <row r="38" spans="1:29" x14ac:dyDescent="0.25">
      <c r="L38" s="13" t="s">
        <v>538</v>
      </c>
      <c r="Q38" s="52" t="s">
        <v>415</v>
      </c>
    </row>
    <row r="39" spans="1:29" x14ac:dyDescent="0.25">
      <c r="L39" s="13" t="s">
        <v>417</v>
      </c>
      <c r="Q39" s="13" t="s">
        <v>1848</v>
      </c>
    </row>
    <row r="40" spans="1:29" x14ac:dyDescent="0.25">
      <c r="L40" s="52" t="s">
        <v>445</v>
      </c>
      <c r="Q40" s="52" t="s">
        <v>431</v>
      </c>
    </row>
    <row r="41" spans="1:29" x14ac:dyDescent="0.25">
      <c r="Q41" s="13" t="s">
        <v>548</v>
      </c>
    </row>
    <row r="47" spans="1:29" x14ac:dyDescent="0.25">
      <c r="A47" t="s">
        <v>1770</v>
      </c>
      <c r="B47" s="1"/>
      <c r="E47" s="1"/>
      <c r="F47" s="1"/>
      <c r="K47" s="17" t="s">
        <v>657</v>
      </c>
      <c r="L47" s="13" t="s">
        <v>1849</v>
      </c>
      <c r="O47" s="17" t="s">
        <v>684</v>
      </c>
      <c r="Q47" s="32" t="s">
        <v>1850</v>
      </c>
      <c r="S47" s="17" t="s">
        <v>594</v>
      </c>
      <c r="T47" s="17" t="s">
        <v>1851</v>
      </c>
      <c r="W47" s="17" t="s">
        <v>787</v>
      </c>
      <c r="X47" s="54" t="s">
        <v>625</v>
      </c>
      <c r="AA47" s="17" t="s">
        <v>1771</v>
      </c>
      <c r="AB47" s="17" t="s">
        <v>637</v>
      </c>
      <c r="AC47" s="17" t="s">
        <v>1793</v>
      </c>
    </row>
    <row r="48" spans="1:29" x14ac:dyDescent="0.25">
      <c r="A48" t="s">
        <v>1755</v>
      </c>
      <c r="D48" s="1"/>
      <c r="K48" s="32" t="s">
        <v>1850</v>
      </c>
      <c r="Q48" s="17" t="s">
        <v>1852</v>
      </c>
      <c r="S48" s="17" t="s">
        <v>654</v>
      </c>
      <c r="T48" s="39" t="s">
        <v>594</v>
      </c>
      <c r="U48" s="4"/>
      <c r="W48" s="17" t="s">
        <v>639</v>
      </c>
      <c r="X48" s="17" t="s">
        <v>639</v>
      </c>
      <c r="AA48" s="17" t="s">
        <v>684</v>
      </c>
      <c r="AB48" s="56" t="s">
        <v>1853</v>
      </c>
      <c r="AC48" s="17" t="s">
        <v>1854</v>
      </c>
    </row>
    <row r="49" spans="1:29" x14ac:dyDescent="0.25">
      <c r="A49" t="s">
        <v>1785</v>
      </c>
      <c r="K49" s="32" t="s">
        <v>1855</v>
      </c>
      <c r="Q49" s="54" t="s">
        <v>739</v>
      </c>
      <c r="R49" s="3"/>
      <c r="S49" s="17" t="s">
        <v>616</v>
      </c>
      <c r="T49" s="17" t="s">
        <v>654</v>
      </c>
      <c r="W49" s="17" t="s">
        <v>1771</v>
      </c>
      <c r="X49" s="17" t="s">
        <v>1771</v>
      </c>
      <c r="AA49" s="17" t="s">
        <v>639</v>
      </c>
      <c r="AC49" s="17" t="s">
        <v>1851</v>
      </c>
    </row>
    <row r="50" spans="1:29" x14ac:dyDescent="0.25">
      <c r="K50" s="17" t="s">
        <v>727</v>
      </c>
      <c r="Q50" s="17" t="s">
        <v>657</v>
      </c>
      <c r="S50" s="54" t="s">
        <v>1856</v>
      </c>
      <c r="T50" s="39" t="s">
        <v>1788</v>
      </c>
      <c r="X50" s="17" t="s">
        <v>787</v>
      </c>
      <c r="AA50" s="39" t="s">
        <v>1857</v>
      </c>
      <c r="AC50" s="54" t="s">
        <v>1853</v>
      </c>
    </row>
    <row r="51" spans="1:29" x14ac:dyDescent="0.25">
      <c r="A51" s="18" t="s">
        <v>333</v>
      </c>
      <c r="Q51" s="32" t="s">
        <v>1858</v>
      </c>
      <c r="R51" s="4"/>
      <c r="S51" s="17" t="s">
        <v>644</v>
      </c>
      <c r="T51" s="17" t="s">
        <v>674</v>
      </c>
      <c r="X51" s="17" t="s">
        <v>606</v>
      </c>
      <c r="AA51" s="39" t="s">
        <v>746</v>
      </c>
      <c r="AC51" s="17" t="s">
        <v>594</v>
      </c>
    </row>
    <row r="52" spans="1:29" x14ac:dyDescent="0.25">
      <c r="A52" s="13" t="s">
        <v>402</v>
      </c>
      <c r="Q52" s="17" t="s">
        <v>838</v>
      </c>
      <c r="S52" s="39" t="s">
        <v>1853</v>
      </c>
      <c r="T52" s="17" t="s">
        <v>1859</v>
      </c>
      <c r="X52" s="17" t="s">
        <v>684</v>
      </c>
      <c r="AA52" s="17" t="s">
        <v>655</v>
      </c>
      <c r="AC52" s="17" t="s">
        <v>654</v>
      </c>
    </row>
    <row r="53" spans="1:29" x14ac:dyDescent="0.25">
      <c r="A53" s="17" t="s">
        <v>593</v>
      </c>
      <c r="Q53" s="17" t="s">
        <v>1860</v>
      </c>
      <c r="S53" s="17" t="s">
        <v>702</v>
      </c>
      <c r="T53" s="17" t="s">
        <v>761</v>
      </c>
      <c r="X53" s="17" t="s">
        <v>714</v>
      </c>
      <c r="AA53" s="17" t="s">
        <v>611</v>
      </c>
      <c r="AC53" s="17" t="s">
        <v>1861</v>
      </c>
    </row>
    <row r="54" spans="1:29" x14ac:dyDescent="0.25">
      <c r="A54" s="2" t="s">
        <v>884</v>
      </c>
      <c r="S54" s="17" t="s">
        <v>655</v>
      </c>
      <c r="T54" s="54" t="s">
        <v>1862</v>
      </c>
      <c r="X54" s="17" t="s">
        <v>746</v>
      </c>
      <c r="AA54" s="17" t="s">
        <v>684</v>
      </c>
      <c r="AC54" s="17" t="s">
        <v>781</v>
      </c>
    </row>
    <row r="55" spans="1:29" x14ac:dyDescent="0.25">
      <c r="A55" t="s">
        <v>1025</v>
      </c>
      <c r="S55" s="32" t="s">
        <v>1863</v>
      </c>
      <c r="T55" s="17" t="s">
        <v>1864</v>
      </c>
      <c r="AA55" s="17" t="s">
        <v>1851</v>
      </c>
      <c r="AC55" s="17" t="s">
        <v>674</v>
      </c>
    </row>
    <row r="56" spans="1:29" x14ac:dyDescent="0.25">
      <c r="S56" s="54" t="s">
        <v>1865</v>
      </c>
      <c r="AA56" s="17" t="s">
        <v>594</v>
      </c>
      <c r="AC56" s="17" t="s">
        <v>739</v>
      </c>
    </row>
    <row r="57" spans="1:29" x14ac:dyDescent="0.25">
      <c r="S57" s="17" t="s">
        <v>1771</v>
      </c>
      <c r="AA57" s="17" t="s">
        <v>654</v>
      </c>
      <c r="AC57" s="17" t="s">
        <v>687</v>
      </c>
    </row>
    <row r="58" spans="1:29" x14ac:dyDescent="0.25">
      <c r="S58" s="17" t="s">
        <v>611</v>
      </c>
      <c r="AA58" s="17" t="s">
        <v>643</v>
      </c>
    </row>
    <row r="59" spans="1:29" x14ac:dyDescent="0.25">
      <c r="AA59" s="17" t="s">
        <v>838</v>
      </c>
    </row>
    <row r="67" spans="1:29" x14ac:dyDescent="0.25">
      <c r="A67" t="s">
        <v>1795</v>
      </c>
      <c r="L67" s="2" t="s">
        <v>1866</v>
      </c>
      <c r="N67" s="1"/>
      <c r="Q67" s="55" t="s">
        <v>886</v>
      </c>
      <c r="S67" s="2" t="s">
        <v>885</v>
      </c>
      <c r="T67" s="2" t="s">
        <v>1867</v>
      </c>
      <c r="V67" s="2" t="s">
        <v>909</v>
      </c>
      <c r="W67" s="2" t="s">
        <v>909</v>
      </c>
      <c r="Z67" s="2" t="s">
        <v>952</v>
      </c>
      <c r="AA67" s="2" t="s">
        <v>1017</v>
      </c>
      <c r="AB67" s="2" t="s">
        <v>909</v>
      </c>
      <c r="AC67" s="36" t="s">
        <v>984</v>
      </c>
    </row>
    <row r="68" spans="1:29" x14ac:dyDescent="0.25">
      <c r="A68" t="s">
        <v>1801</v>
      </c>
      <c r="Q68" s="2" t="s">
        <v>934</v>
      </c>
      <c r="S68" s="2" t="s">
        <v>962</v>
      </c>
      <c r="T68" s="2" t="s">
        <v>962</v>
      </c>
      <c r="V68" s="2" t="s">
        <v>891</v>
      </c>
      <c r="AA68" s="36" t="s">
        <v>614</v>
      </c>
      <c r="AB68" s="55" t="s">
        <v>894</v>
      </c>
      <c r="AC68" s="2" t="s">
        <v>962</v>
      </c>
    </row>
    <row r="69" spans="1:29" x14ac:dyDescent="0.25">
      <c r="A69" t="s">
        <v>1806</v>
      </c>
      <c r="S69" s="2" t="s">
        <v>795</v>
      </c>
      <c r="T69" s="2" t="s">
        <v>885</v>
      </c>
      <c r="AA69" s="2" t="s">
        <v>962</v>
      </c>
      <c r="AB69" s="33" t="s">
        <v>1868</v>
      </c>
      <c r="AC69" s="2" t="s">
        <v>934</v>
      </c>
    </row>
    <row r="70" spans="1:29" x14ac:dyDescent="0.25">
      <c r="S70" s="2" t="s">
        <v>934</v>
      </c>
      <c r="T70" s="2" t="s">
        <v>892</v>
      </c>
      <c r="AA70" s="37" t="s">
        <v>903</v>
      </c>
      <c r="AC70" s="36" t="s">
        <v>1799</v>
      </c>
    </row>
    <row r="71" spans="1:29" x14ac:dyDescent="0.25">
      <c r="A71" s="18" t="s">
        <v>333</v>
      </c>
      <c r="T71" s="2" t="s">
        <v>1869</v>
      </c>
      <c r="AA71" s="2" t="s">
        <v>962</v>
      </c>
    </row>
    <row r="72" spans="1:29" x14ac:dyDescent="0.25">
      <c r="A72" s="13" t="s">
        <v>402</v>
      </c>
      <c r="AA72" s="37" t="s">
        <v>1870</v>
      </c>
    </row>
    <row r="73" spans="1:29" x14ac:dyDescent="0.25">
      <c r="A73" s="17" t="s">
        <v>593</v>
      </c>
    </row>
    <row r="74" spans="1:29" x14ac:dyDescent="0.25">
      <c r="A74" s="2" t="s">
        <v>884</v>
      </c>
    </row>
    <row r="75" spans="1:29" x14ac:dyDescent="0.25">
      <c r="A75" t="s">
        <v>1025</v>
      </c>
    </row>
    <row r="87" spans="1:10" x14ac:dyDescent="0.25">
      <c r="A87" t="s">
        <v>1807</v>
      </c>
      <c r="B87" s="1"/>
      <c r="C87" s="5"/>
      <c r="E87" s="1"/>
      <c r="F87" s="1"/>
      <c r="H87" s="1"/>
      <c r="I87" s="1"/>
      <c r="J87" s="3"/>
    </row>
    <row r="88" spans="1:10" x14ac:dyDescent="0.25">
      <c r="A88" t="s">
        <v>1808</v>
      </c>
      <c r="C88" s="5"/>
      <c r="I88" s="1"/>
      <c r="J88" s="3"/>
    </row>
    <row r="89" spans="1:10" x14ac:dyDescent="0.25">
      <c r="A89" t="s">
        <v>1746</v>
      </c>
      <c r="H89" s="1"/>
      <c r="I89" s="3"/>
    </row>
    <row r="90" spans="1:10" x14ac:dyDescent="0.25">
      <c r="I90" s="4"/>
    </row>
    <row r="91" spans="1:10" x14ac:dyDescent="0.25">
      <c r="A91" s="18" t="s">
        <v>333</v>
      </c>
      <c r="F91" s="3"/>
    </row>
    <row r="92" spans="1:10" x14ac:dyDescent="0.25">
      <c r="A92" s="13" t="s">
        <v>402</v>
      </c>
    </row>
    <row r="93" spans="1:10" x14ac:dyDescent="0.25">
      <c r="A93" s="17" t="s">
        <v>593</v>
      </c>
    </row>
    <row r="94" spans="1:10" x14ac:dyDescent="0.25">
      <c r="A94" s="2" t="s">
        <v>884</v>
      </c>
    </row>
    <row r="95" spans="1:10" x14ac:dyDescent="0.25">
      <c r="A95" t="s">
        <v>1025</v>
      </c>
    </row>
    <row r="107" spans="1:29" x14ac:dyDescent="0.25">
      <c r="A107" t="s">
        <v>1809</v>
      </c>
      <c r="S107" s="17" t="s">
        <v>615</v>
      </c>
      <c r="T107" s="17" t="s">
        <v>1871</v>
      </c>
      <c r="AA107" s="17" t="s">
        <v>615</v>
      </c>
      <c r="AC107" s="17" t="s">
        <v>1871</v>
      </c>
    </row>
    <row r="108" spans="1:29" x14ac:dyDescent="0.25">
      <c r="A108" t="s">
        <v>1801</v>
      </c>
      <c r="S108" s="13" t="s">
        <v>1872</v>
      </c>
      <c r="T108" s="17" t="s">
        <v>1871</v>
      </c>
      <c r="AA108" s="17" t="s">
        <v>615</v>
      </c>
      <c r="AC108" s="17" t="s">
        <v>1871</v>
      </c>
    </row>
    <row r="109" spans="1:29" x14ac:dyDescent="0.25">
      <c r="A109" t="s">
        <v>1785</v>
      </c>
      <c r="S109" s="17" t="s">
        <v>1871</v>
      </c>
      <c r="T109" s="17" t="s">
        <v>1871</v>
      </c>
      <c r="X109" s="4"/>
      <c r="AA109" s="17" t="s">
        <v>1871</v>
      </c>
      <c r="AC109" s="17" t="s">
        <v>1871</v>
      </c>
    </row>
    <row r="110" spans="1:29" x14ac:dyDescent="0.25">
      <c r="S110" s="17" t="s">
        <v>1871</v>
      </c>
      <c r="T110" s="17" t="s">
        <v>1871</v>
      </c>
      <c r="AA110" s="17" t="s">
        <v>1871</v>
      </c>
      <c r="AC110" s="17" t="s">
        <v>1871</v>
      </c>
    </row>
    <row r="111" spans="1:29" x14ac:dyDescent="0.25">
      <c r="A111" s="18" t="s">
        <v>333</v>
      </c>
      <c r="S111" s="17" t="s">
        <v>1871</v>
      </c>
      <c r="T111" s="17" t="s">
        <v>1871</v>
      </c>
      <c r="AA111" s="17" t="s">
        <v>1871</v>
      </c>
      <c r="AC111" s="17" t="s">
        <v>1871</v>
      </c>
    </row>
    <row r="112" spans="1:29" x14ac:dyDescent="0.25">
      <c r="A112" s="13" t="s">
        <v>402</v>
      </c>
      <c r="S112" s="17" t="s">
        <v>1871</v>
      </c>
      <c r="T112" s="17" t="s">
        <v>1871</v>
      </c>
      <c r="AA112" s="17" t="s">
        <v>1871</v>
      </c>
      <c r="AC112" s="17" t="s">
        <v>1871</v>
      </c>
    </row>
    <row r="113" spans="1:29" x14ac:dyDescent="0.25">
      <c r="A113" s="17" t="s">
        <v>593</v>
      </c>
      <c r="S113" s="17" t="s">
        <v>1871</v>
      </c>
      <c r="T113" s="17" t="s">
        <v>1871</v>
      </c>
      <c r="AA113" s="17" t="s">
        <v>1871</v>
      </c>
      <c r="AC113" s="17" t="s">
        <v>1871</v>
      </c>
    </row>
    <row r="114" spans="1:29" x14ac:dyDescent="0.25">
      <c r="A114" s="2" t="s">
        <v>884</v>
      </c>
      <c r="S114" s="17" t="s">
        <v>1871</v>
      </c>
      <c r="T114" s="17" t="s">
        <v>1871</v>
      </c>
      <c r="AA114" s="17" t="s">
        <v>1871</v>
      </c>
      <c r="AC114" s="17" t="s">
        <v>1871</v>
      </c>
    </row>
    <row r="115" spans="1:29" x14ac:dyDescent="0.25">
      <c r="A115" t="s">
        <v>1025</v>
      </c>
      <c r="S115" s="17" t="s">
        <v>1871</v>
      </c>
      <c r="AA115" s="17" t="s">
        <v>1871</v>
      </c>
    </row>
    <row r="116" spans="1:29" x14ac:dyDescent="0.25">
      <c r="S116" s="17" t="s">
        <v>1871</v>
      </c>
      <c r="AA116" s="17" t="s">
        <v>1871</v>
      </c>
    </row>
    <row r="127" spans="1:29" x14ac:dyDescent="0.25">
      <c r="A127" t="s">
        <v>1810</v>
      </c>
      <c r="B127" s="1"/>
      <c r="C127" s="5"/>
      <c r="E127" s="1"/>
      <c r="F127" s="1"/>
      <c r="H127" s="1"/>
      <c r="J127" s="5"/>
      <c r="L127" s="2" t="s">
        <v>1873</v>
      </c>
      <c r="S127" s="17" t="s">
        <v>798</v>
      </c>
      <c r="AA127" s="17" t="s">
        <v>680</v>
      </c>
    </row>
    <row r="128" spans="1:29" x14ac:dyDescent="0.25">
      <c r="A128" t="s">
        <v>1812</v>
      </c>
      <c r="B128" s="1"/>
      <c r="C128" s="5"/>
      <c r="L128" s="1"/>
      <c r="S128" s="17" t="s">
        <v>798</v>
      </c>
    </row>
    <row r="129" spans="1:19" x14ac:dyDescent="0.25">
      <c r="A129" t="s">
        <v>1806</v>
      </c>
      <c r="C129" s="5"/>
      <c r="D129" s="3"/>
      <c r="S129" s="2" t="s">
        <v>1004</v>
      </c>
    </row>
    <row r="131" spans="1:19" x14ac:dyDescent="0.25">
      <c r="A131" s="18" t="s">
        <v>333</v>
      </c>
    </row>
    <row r="132" spans="1:19" x14ac:dyDescent="0.25">
      <c r="A132" s="13" t="s">
        <v>402</v>
      </c>
    </row>
    <row r="133" spans="1:19" x14ac:dyDescent="0.25">
      <c r="A133" s="17" t="s">
        <v>593</v>
      </c>
    </row>
    <row r="134" spans="1:19" x14ac:dyDescent="0.25">
      <c r="A134" s="2" t="s">
        <v>884</v>
      </c>
    </row>
    <row r="135" spans="1:19" x14ac:dyDescent="0.25">
      <c r="A135" t="s">
        <v>1025</v>
      </c>
    </row>
    <row r="147" spans="1:29" x14ac:dyDescent="0.25">
      <c r="A147" t="s">
        <v>1813</v>
      </c>
      <c r="S147" s="2" t="s">
        <v>960</v>
      </c>
      <c r="T147" s="2" t="s">
        <v>893</v>
      </c>
      <c r="W147" s="2" t="s">
        <v>958</v>
      </c>
      <c r="X147" s="2" t="s">
        <v>896</v>
      </c>
      <c r="AA147" s="2" t="s">
        <v>958</v>
      </c>
      <c r="AB147" s="37" t="s">
        <v>893</v>
      </c>
      <c r="AC147" s="37" t="s">
        <v>1874</v>
      </c>
    </row>
    <row r="148" spans="1:29" x14ac:dyDescent="0.25">
      <c r="A148" t="s">
        <v>1812</v>
      </c>
      <c r="S148" s="2" t="s">
        <v>893</v>
      </c>
      <c r="T148" s="2" t="s">
        <v>931</v>
      </c>
      <c r="W148" s="2" t="s">
        <v>893</v>
      </c>
      <c r="AA148" s="2" t="s">
        <v>893</v>
      </c>
      <c r="AB148" s="2" t="s">
        <v>975</v>
      </c>
      <c r="AC148" s="2" t="s">
        <v>1875</v>
      </c>
    </row>
    <row r="149" spans="1:29" x14ac:dyDescent="0.25">
      <c r="A149" t="s">
        <v>1806</v>
      </c>
      <c r="S149" s="2" t="s">
        <v>973</v>
      </c>
      <c r="T149" s="2" t="s">
        <v>1876</v>
      </c>
      <c r="AB149" s="2" t="s">
        <v>958</v>
      </c>
      <c r="AC149" s="2" t="s">
        <v>893</v>
      </c>
    </row>
    <row r="150" spans="1:29" x14ac:dyDescent="0.25">
      <c r="S150" s="2" t="s">
        <v>1877</v>
      </c>
      <c r="T150" s="2" t="s">
        <v>1878</v>
      </c>
      <c r="AB150" s="2"/>
      <c r="AC150" s="2" t="s">
        <v>1016</v>
      </c>
    </row>
    <row r="151" spans="1:29" x14ac:dyDescent="0.25">
      <c r="A151" s="18" t="s">
        <v>333</v>
      </c>
      <c r="S151" s="2" t="s">
        <v>958</v>
      </c>
    </row>
    <row r="152" spans="1:29" x14ac:dyDescent="0.25">
      <c r="A152" s="13" t="s">
        <v>402</v>
      </c>
    </row>
    <row r="153" spans="1:29" x14ac:dyDescent="0.25">
      <c r="A153" s="17" t="s">
        <v>593</v>
      </c>
    </row>
    <row r="154" spans="1:29" x14ac:dyDescent="0.25">
      <c r="A154" s="2" t="s">
        <v>884</v>
      </c>
    </row>
    <row r="155" spans="1:29" x14ac:dyDescent="0.25">
      <c r="A155" t="s">
        <v>1025</v>
      </c>
    </row>
    <row r="167" spans="1:29" x14ac:dyDescent="0.25">
      <c r="A167" t="s">
        <v>1025</v>
      </c>
      <c r="S167" t="s">
        <v>1031</v>
      </c>
      <c r="T167" t="s">
        <v>1055</v>
      </c>
      <c r="AA167" s="51" t="s">
        <v>1036</v>
      </c>
      <c r="AC167" t="s">
        <v>1029</v>
      </c>
    </row>
    <row r="168" spans="1:29" x14ac:dyDescent="0.25">
      <c r="C168" s="2"/>
      <c r="E168" s="1"/>
      <c r="S168" t="s">
        <v>1815</v>
      </c>
      <c r="T168" t="s">
        <v>1042</v>
      </c>
    </row>
    <row r="169" spans="1:29" x14ac:dyDescent="0.25">
      <c r="S169" t="s">
        <v>1043</v>
      </c>
      <c r="T169" s="58" t="s">
        <v>1032</v>
      </c>
    </row>
    <row r="171" spans="1:29" x14ac:dyDescent="0.25">
      <c r="A171" s="18" t="s">
        <v>333</v>
      </c>
    </row>
    <row r="172" spans="1:29" x14ac:dyDescent="0.25">
      <c r="A172" s="13" t="s">
        <v>402</v>
      </c>
    </row>
    <row r="173" spans="1:29" x14ac:dyDescent="0.25">
      <c r="A173" s="17" t="s">
        <v>593</v>
      </c>
    </row>
    <row r="174" spans="1:29" x14ac:dyDescent="0.25">
      <c r="A174" s="2" t="s">
        <v>884</v>
      </c>
    </row>
    <row r="175" spans="1:29" x14ac:dyDescent="0.25">
      <c r="A175" t="s">
        <v>1025</v>
      </c>
    </row>
    <row r="187" spans="1:1" x14ac:dyDescent="0.25">
      <c r="A187" t="s">
        <v>1126</v>
      </c>
    </row>
    <row r="191" spans="1:1" x14ac:dyDescent="0.25">
      <c r="A191" s="18" t="s">
        <v>333</v>
      </c>
    </row>
    <row r="192" spans="1:1" x14ac:dyDescent="0.25">
      <c r="A192" s="13" t="s">
        <v>402</v>
      </c>
    </row>
    <row r="193" spans="1:11" x14ac:dyDescent="0.25">
      <c r="A193" s="17" t="s">
        <v>593</v>
      </c>
    </row>
    <row r="194" spans="1:11" x14ac:dyDescent="0.25">
      <c r="A194" s="2" t="s">
        <v>884</v>
      </c>
    </row>
    <row r="195" spans="1:11" x14ac:dyDescent="0.25">
      <c r="A195" t="s">
        <v>1025</v>
      </c>
      <c r="K195" t="s">
        <v>1879</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AC62A-7A0A-4C10-A42B-C3B66DCD81D7}">
  <sheetPr filterMode="1"/>
  <dimension ref="A1:I1091"/>
  <sheetViews>
    <sheetView topLeftCell="A509" workbookViewId="0">
      <selection sqref="A1:I1"/>
    </sheetView>
  </sheetViews>
  <sheetFormatPr defaultRowHeight="15" x14ac:dyDescent="0.25"/>
  <cols>
    <col min="1" max="1" width="37.140625" bestFit="1" customWidth="1"/>
    <col min="2" max="2" width="16.42578125" customWidth="1"/>
    <col min="3" max="4" width="12.5703125" customWidth="1"/>
    <col min="5" max="5" width="11.5703125" customWidth="1"/>
    <col min="6" max="6" width="18.85546875" customWidth="1"/>
    <col min="7" max="7" width="15.7109375" customWidth="1"/>
    <col min="9" max="9" width="22.5703125" bestFit="1" customWidth="1"/>
  </cols>
  <sheetData>
    <row r="1" spans="1:9" ht="39" thickBot="1" x14ac:dyDescent="0.3">
      <c r="A1" s="132" t="s">
        <v>1880</v>
      </c>
      <c r="B1" s="132" t="s">
        <v>1881</v>
      </c>
      <c r="C1" s="133" t="s">
        <v>1882</v>
      </c>
      <c r="D1" s="132" t="s">
        <v>1883</v>
      </c>
      <c r="E1" s="132" t="s">
        <v>1884</v>
      </c>
      <c r="F1" s="132" t="s">
        <v>1885</v>
      </c>
      <c r="G1" s="132" t="s">
        <v>1886</v>
      </c>
      <c r="H1" s="132" t="s">
        <v>1887</v>
      </c>
      <c r="I1" s="132" t="s">
        <v>1888</v>
      </c>
    </row>
    <row r="2" spans="1:9" ht="26.25" hidden="1" thickBot="1" x14ac:dyDescent="0.3">
      <c r="A2" s="109" t="s">
        <v>1889</v>
      </c>
      <c r="B2" s="109" t="s">
        <v>1890</v>
      </c>
      <c r="C2" s="110" t="s">
        <v>1025</v>
      </c>
      <c r="D2" s="109">
        <v>1</v>
      </c>
      <c r="E2" s="109"/>
      <c r="F2" s="109" t="s">
        <v>1891</v>
      </c>
      <c r="G2" s="109" t="s">
        <v>1892</v>
      </c>
      <c r="H2" s="109" t="s">
        <v>58</v>
      </c>
      <c r="I2" s="109" t="s">
        <v>1893</v>
      </c>
    </row>
    <row r="3" spans="1:9" ht="15.75" hidden="1" thickBot="1" x14ac:dyDescent="0.3">
      <c r="A3" s="111" t="s">
        <v>1894</v>
      </c>
      <c r="B3" s="112" t="s">
        <v>1895</v>
      </c>
      <c r="C3" s="110" t="s">
        <v>1025</v>
      </c>
      <c r="D3" s="112">
        <v>1</v>
      </c>
      <c r="E3" s="112"/>
      <c r="F3" s="113"/>
      <c r="G3" s="112" t="s">
        <v>1892</v>
      </c>
      <c r="H3" s="112" t="s">
        <v>58</v>
      </c>
      <c r="I3" s="113"/>
    </row>
    <row r="4" spans="1:9" ht="15.75" hidden="1" thickBot="1" x14ac:dyDescent="0.3">
      <c r="A4" s="111" t="s">
        <v>1896</v>
      </c>
      <c r="B4" s="109" t="s">
        <v>1895</v>
      </c>
      <c r="C4" s="110" t="s">
        <v>1025</v>
      </c>
      <c r="D4" s="109">
        <v>1</v>
      </c>
      <c r="E4" s="109"/>
      <c r="F4" s="114"/>
      <c r="G4" s="109" t="s">
        <v>1892</v>
      </c>
      <c r="H4" s="109" t="s">
        <v>58</v>
      </c>
      <c r="I4" s="109"/>
    </row>
    <row r="5" spans="1:9" ht="243" hidden="1" thickBot="1" x14ac:dyDescent="0.3">
      <c r="A5" s="112" t="s">
        <v>1897</v>
      </c>
      <c r="B5" s="112" t="s">
        <v>1895</v>
      </c>
      <c r="C5" s="110" t="s">
        <v>1025</v>
      </c>
      <c r="D5" s="112">
        <v>1</v>
      </c>
      <c r="E5" s="112"/>
      <c r="F5" s="113"/>
      <c r="G5" s="112" t="s">
        <v>1892</v>
      </c>
      <c r="H5" s="112" t="s">
        <v>58</v>
      </c>
      <c r="I5" s="113" t="s">
        <v>1898</v>
      </c>
    </row>
    <row r="6" spans="1:9" ht="179.25" hidden="1" thickBot="1" x14ac:dyDescent="0.3">
      <c r="A6" s="109" t="s">
        <v>1043</v>
      </c>
      <c r="B6" s="109" t="s">
        <v>1895</v>
      </c>
      <c r="C6" s="110" t="s">
        <v>1025</v>
      </c>
      <c r="D6" s="109">
        <v>1</v>
      </c>
      <c r="E6" s="109"/>
      <c r="F6" s="114"/>
      <c r="G6" s="109" t="s">
        <v>1892</v>
      </c>
      <c r="H6" s="109" t="s">
        <v>58</v>
      </c>
      <c r="I6" s="109" t="s">
        <v>1899</v>
      </c>
    </row>
    <row r="7" spans="1:9" ht="51.75" hidden="1" thickBot="1" x14ac:dyDescent="0.3">
      <c r="A7" s="112" t="s">
        <v>1900</v>
      </c>
      <c r="B7" s="112" t="s">
        <v>1890</v>
      </c>
      <c r="C7" s="110" t="s">
        <v>1025</v>
      </c>
      <c r="D7" s="112">
        <v>1</v>
      </c>
      <c r="E7" s="112"/>
      <c r="F7" s="113"/>
      <c r="G7" s="112" t="s">
        <v>1892</v>
      </c>
      <c r="H7" s="112" t="s">
        <v>58</v>
      </c>
      <c r="I7" s="113" t="s">
        <v>1901</v>
      </c>
    </row>
    <row r="8" spans="1:9" ht="51.75" hidden="1" thickBot="1" x14ac:dyDescent="0.3">
      <c r="A8" s="109" t="s">
        <v>1902</v>
      </c>
      <c r="B8" s="109" t="s">
        <v>1890</v>
      </c>
      <c r="C8" s="110" t="s">
        <v>1025</v>
      </c>
      <c r="D8" s="109">
        <v>1</v>
      </c>
      <c r="E8" s="109"/>
      <c r="F8" s="109"/>
      <c r="G8" s="109"/>
      <c r="H8" s="109"/>
      <c r="I8" s="109" t="s">
        <v>1901</v>
      </c>
    </row>
    <row r="9" spans="1:9" ht="15.75" hidden="1" thickBot="1" x14ac:dyDescent="0.3">
      <c r="A9" s="111" t="s">
        <v>1903</v>
      </c>
      <c r="B9" s="112" t="s">
        <v>1890</v>
      </c>
      <c r="C9" s="110" t="s">
        <v>1025</v>
      </c>
      <c r="D9" s="112">
        <v>1</v>
      </c>
      <c r="E9" s="112"/>
      <c r="F9" s="113"/>
      <c r="G9" s="112"/>
      <c r="H9" s="112"/>
      <c r="I9" s="113"/>
    </row>
    <row r="10" spans="1:9" ht="15.75" hidden="1" thickBot="1" x14ac:dyDescent="0.3">
      <c r="A10" s="111" t="s">
        <v>1904</v>
      </c>
      <c r="B10" s="109" t="s">
        <v>1890</v>
      </c>
      <c r="C10" s="110" t="s">
        <v>1025</v>
      </c>
      <c r="D10" s="109">
        <v>1</v>
      </c>
      <c r="E10" s="109"/>
      <c r="F10" s="109"/>
      <c r="G10" s="109"/>
      <c r="H10" s="109"/>
      <c r="I10" s="109"/>
    </row>
    <row r="11" spans="1:9" ht="15.75" hidden="1" thickBot="1" x14ac:dyDescent="0.3">
      <c r="A11" s="111" t="s">
        <v>1905</v>
      </c>
      <c r="B11" s="112" t="s">
        <v>1890</v>
      </c>
      <c r="C11" s="110" t="s">
        <v>1025</v>
      </c>
      <c r="D11" s="112">
        <v>1</v>
      </c>
      <c r="E11" s="112"/>
      <c r="F11" s="113"/>
      <c r="G11" s="112"/>
      <c r="H11" s="112"/>
      <c r="I11" s="113"/>
    </row>
    <row r="12" spans="1:9" ht="15.75" hidden="1" thickBot="1" x14ac:dyDescent="0.3">
      <c r="A12" s="111" t="s">
        <v>1906</v>
      </c>
      <c r="B12" s="109" t="s">
        <v>1890</v>
      </c>
      <c r="C12" s="110" t="s">
        <v>1025</v>
      </c>
      <c r="D12" s="109">
        <v>1</v>
      </c>
      <c r="E12" s="109"/>
      <c r="F12" s="109"/>
      <c r="G12" s="109"/>
      <c r="H12" s="109"/>
      <c r="I12" s="109"/>
    </row>
    <row r="13" spans="1:9" ht="15.75" hidden="1" thickBot="1" x14ac:dyDescent="0.3">
      <c r="A13" s="111" t="s">
        <v>1907</v>
      </c>
      <c r="B13" s="112" t="s">
        <v>1890</v>
      </c>
      <c r="C13" s="110" t="s">
        <v>1025</v>
      </c>
      <c r="D13" s="112">
        <v>1</v>
      </c>
      <c r="E13" s="112"/>
      <c r="F13" s="113"/>
      <c r="G13" s="112"/>
      <c r="H13" s="112"/>
      <c r="I13" s="113"/>
    </row>
    <row r="14" spans="1:9" ht="15.75" hidden="1" thickBot="1" x14ac:dyDescent="0.3">
      <c r="A14" s="111" t="s">
        <v>1908</v>
      </c>
      <c r="B14" s="109" t="s">
        <v>1890</v>
      </c>
      <c r="C14" s="110" t="s">
        <v>1025</v>
      </c>
      <c r="D14" s="109">
        <v>1</v>
      </c>
      <c r="E14" s="109"/>
      <c r="F14" s="109"/>
      <c r="G14" s="109"/>
      <c r="H14" s="109"/>
      <c r="I14" s="109"/>
    </row>
    <row r="15" spans="1:9" ht="15.75" hidden="1" thickBot="1" x14ac:dyDescent="0.3">
      <c r="A15" s="112" t="s">
        <v>1909</v>
      </c>
      <c r="B15" s="112" t="s">
        <v>1890</v>
      </c>
      <c r="C15" s="110" t="s">
        <v>1025</v>
      </c>
      <c r="D15" s="112">
        <v>1</v>
      </c>
      <c r="E15" s="112"/>
      <c r="F15" s="113"/>
      <c r="G15" s="112"/>
      <c r="H15" s="112"/>
      <c r="I15" s="113" t="s">
        <v>1910</v>
      </c>
    </row>
    <row r="16" spans="1:9" ht="15.75" hidden="1" thickBot="1" x14ac:dyDescent="0.3">
      <c r="A16" s="111" t="s">
        <v>1911</v>
      </c>
      <c r="B16" s="109" t="s">
        <v>1890</v>
      </c>
      <c r="C16" s="110" t="s">
        <v>1025</v>
      </c>
      <c r="D16" s="109">
        <v>1</v>
      </c>
      <c r="E16" s="109"/>
      <c r="F16" s="109"/>
      <c r="G16" s="109"/>
      <c r="H16" s="109"/>
      <c r="I16" s="109"/>
    </row>
    <row r="17" spans="1:9" ht="15.75" hidden="1" thickBot="1" x14ac:dyDescent="0.3">
      <c r="A17" s="111" t="s">
        <v>1912</v>
      </c>
      <c r="B17" s="112" t="s">
        <v>1890</v>
      </c>
      <c r="C17" s="110" t="s">
        <v>1025</v>
      </c>
      <c r="D17" s="112">
        <v>1</v>
      </c>
      <c r="E17" s="112"/>
      <c r="F17" s="113"/>
      <c r="G17" s="112"/>
      <c r="H17" s="112"/>
      <c r="I17" s="113"/>
    </row>
    <row r="18" spans="1:9" ht="15.75" hidden="1" thickBot="1" x14ac:dyDescent="0.3">
      <c r="A18" s="111" t="s">
        <v>1913</v>
      </c>
      <c r="B18" s="109" t="s">
        <v>1890</v>
      </c>
      <c r="C18" s="110" t="s">
        <v>1025</v>
      </c>
      <c r="D18" s="109">
        <v>1</v>
      </c>
      <c r="E18" s="109"/>
      <c r="F18" s="109"/>
      <c r="G18" s="109"/>
      <c r="H18" s="109"/>
      <c r="I18" s="109"/>
    </row>
    <row r="19" spans="1:9" ht="15.75" hidden="1" thickBot="1" x14ac:dyDescent="0.3">
      <c r="A19" s="111" t="s">
        <v>1914</v>
      </c>
      <c r="B19" s="112" t="s">
        <v>1890</v>
      </c>
      <c r="C19" s="110" t="s">
        <v>1025</v>
      </c>
      <c r="D19" s="112">
        <v>1</v>
      </c>
      <c r="E19" s="112"/>
      <c r="F19" s="113"/>
      <c r="G19" s="112"/>
      <c r="H19" s="112"/>
      <c r="I19" s="113"/>
    </row>
    <row r="20" spans="1:9" ht="141" hidden="1" thickBot="1" x14ac:dyDescent="0.3">
      <c r="A20" s="109" t="s">
        <v>1053</v>
      </c>
      <c r="B20" s="109" t="s">
        <v>1895</v>
      </c>
      <c r="C20" s="110" t="s">
        <v>1025</v>
      </c>
      <c r="D20" s="109">
        <v>1</v>
      </c>
      <c r="E20" s="109" t="s">
        <v>1915</v>
      </c>
      <c r="F20" s="109"/>
      <c r="G20" s="109" t="s">
        <v>1892</v>
      </c>
      <c r="H20" s="109" t="s">
        <v>58</v>
      </c>
      <c r="I20" s="109" t="s">
        <v>1916</v>
      </c>
    </row>
    <row r="21" spans="1:9" ht="115.5" hidden="1" thickBot="1" x14ac:dyDescent="0.3">
      <c r="A21" s="112" t="s">
        <v>1042</v>
      </c>
      <c r="B21" s="112" t="s">
        <v>1895</v>
      </c>
      <c r="C21" s="110" t="s">
        <v>1025</v>
      </c>
      <c r="D21" s="112">
        <v>1</v>
      </c>
      <c r="E21" s="112"/>
      <c r="F21" s="113"/>
      <c r="G21" s="112" t="s">
        <v>1917</v>
      </c>
      <c r="H21" s="112"/>
      <c r="I21" s="113" t="s">
        <v>1918</v>
      </c>
    </row>
    <row r="22" spans="1:9" ht="192" hidden="1" thickBot="1" x14ac:dyDescent="0.3">
      <c r="A22" s="109" t="s">
        <v>1051</v>
      </c>
      <c r="B22" s="109" t="s">
        <v>1895</v>
      </c>
      <c r="C22" s="110" t="s">
        <v>1025</v>
      </c>
      <c r="D22" s="109">
        <v>1</v>
      </c>
      <c r="E22" s="109"/>
      <c r="F22" s="114"/>
      <c r="G22" s="109" t="s">
        <v>1892</v>
      </c>
      <c r="H22" s="109" t="s">
        <v>58</v>
      </c>
      <c r="I22" s="109" t="s">
        <v>1919</v>
      </c>
    </row>
    <row r="23" spans="1:9" ht="408.75" hidden="1" thickBot="1" x14ac:dyDescent="0.3">
      <c r="A23" s="112" t="s">
        <v>1059</v>
      </c>
      <c r="B23" s="112" t="s">
        <v>1895</v>
      </c>
      <c r="C23" s="110" t="s">
        <v>1025</v>
      </c>
      <c r="D23" s="112">
        <v>1</v>
      </c>
      <c r="E23" s="112"/>
      <c r="F23" s="113"/>
      <c r="G23" s="112" t="s">
        <v>1892</v>
      </c>
      <c r="H23" s="112" t="s">
        <v>58</v>
      </c>
      <c r="I23" s="113" t="s">
        <v>1920</v>
      </c>
    </row>
    <row r="24" spans="1:9" ht="153.75" hidden="1" thickBot="1" x14ac:dyDescent="0.3">
      <c r="A24" s="109" t="s">
        <v>1031</v>
      </c>
      <c r="B24" s="109" t="s">
        <v>1895</v>
      </c>
      <c r="C24" s="110" t="s">
        <v>1025</v>
      </c>
      <c r="D24" s="109">
        <v>1</v>
      </c>
      <c r="E24" s="109"/>
      <c r="F24" s="114"/>
      <c r="G24" s="109" t="s">
        <v>1921</v>
      </c>
      <c r="H24" s="109" t="s">
        <v>58</v>
      </c>
      <c r="I24" s="109" t="s">
        <v>1922</v>
      </c>
    </row>
    <row r="25" spans="1:9" ht="51.75" hidden="1" thickBot="1" x14ac:dyDescent="0.3">
      <c r="A25" s="112" t="s">
        <v>1028</v>
      </c>
      <c r="B25" s="112" t="s">
        <v>1895</v>
      </c>
      <c r="C25" s="110" t="s">
        <v>1025</v>
      </c>
      <c r="D25" s="112">
        <v>1</v>
      </c>
      <c r="E25" s="112"/>
      <c r="F25" s="113"/>
      <c r="G25" s="112" t="s">
        <v>1921</v>
      </c>
      <c r="H25" s="112" t="s">
        <v>58</v>
      </c>
      <c r="I25" s="113" t="s">
        <v>1923</v>
      </c>
    </row>
    <row r="26" spans="1:9" ht="77.25" hidden="1" thickBot="1" x14ac:dyDescent="0.3">
      <c r="A26" s="109" t="s">
        <v>1083</v>
      </c>
      <c r="B26" s="109" t="s">
        <v>1895</v>
      </c>
      <c r="C26" s="110" t="s">
        <v>1025</v>
      </c>
      <c r="D26" s="109">
        <v>1</v>
      </c>
      <c r="E26" s="109" t="s">
        <v>1915</v>
      </c>
      <c r="F26" s="109" t="s">
        <v>19</v>
      </c>
      <c r="G26" s="109" t="s">
        <v>1921</v>
      </c>
      <c r="H26" s="109" t="s">
        <v>58</v>
      </c>
      <c r="I26" s="109" t="s">
        <v>1924</v>
      </c>
    </row>
    <row r="27" spans="1:9" ht="102.75" hidden="1" thickBot="1" x14ac:dyDescent="0.3">
      <c r="A27" s="112" t="s">
        <v>1029</v>
      </c>
      <c r="B27" s="112" t="s">
        <v>1895</v>
      </c>
      <c r="C27" s="110" t="s">
        <v>1025</v>
      </c>
      <c r="D27" s="112">
        <v>1</v>
      </c>
      <c r="E27" s="112"/>
      <c r="F27" s="113"/>
      <c r="G27" s="112" t="s">
        <v>1921</v>
      </c>
      <c r="H27" s="112" t="s">
        <v>58</v>
      </c>
      <c r="I27" s="113" t="s">
        <v>1925</v>
      </c>
    </row>
    <row r="28" spans="1:9" ht="26.25" hidden="1" thickBot="1" x14ac:dyDescent="0.3">
      <c r="A28" s="109" t="s">
        <v>1118</v>
      </c>
      <c r="B28" s="109" t="s">
        <v>1895</v>
      </c>
      <c r="C28" s="110" t="s">
        <v>1025</v>
      </c>
      <c r="D28" s="109">
        <v>1</v>
      </c>
      <c r="E28" s="109"/>
      <c r="F28" s="114"/>
      <c r="G28" s="109" t="s">
        <v>1921</v>
      </c>
      <c r="H28" s="109" t="s">
        <v>58</v>
      </c>
      <c r="I28" s="109" t="s">
        <v>1926</v>
      </c>
    </row>
    <row r="29" spans="1:9" ht="115.5" hidden="1" thickBot="1" x14ac:dyDescent="0.3">
      <c r="A29" s="112" t="s">
        <v>1032</v>
      </c>
      <c r="B29" s="112" t="s">
        <v>1895</v>
      </c>
      <c r="C29" s="110" t="s">
        <v>1025</v>
      </c>
      <c r="D29" s="112">
        <v>1</v>
      </c>
      <c r="E29" s="112"/>
      <c r="F29" s="113"/>
      <c r="G29" s="112" t="s">
        <v>1921</v>
      </c>
      <c r="H29" s="112" t="s">
        <v>58</v>
      </c>
      <c r="I29" s="113" t="s">
        <v>1927</v>
      </c>
    </row>
    <row r="30" spans="1:9" ht="26.25" hidden="1" thickBot="1" x14ac:dyDescent="0.3">
      <c r="A30" s="109" t="s">
        <v>1928</v>
      </c>
      <c r="B30" s="109" t="s">
        <v>1895</v>
      </c>
      <c r="C30" s="110" t="s">
        <v>1025</v>
      </c>
      <c r="D30" s="109">
        <v>1</v>
      </c>
      <c r="E30" s="109"/>
      <c r="F30" s="114"/>
      <c r="G30" s="109" t="s">
        <v>1921</v>
      </c>
      <c r="H30" s="109" t="s">
        <v>58</v>
      </c>
      <c r="I30" s="109" t="s">
        <v>1929</v>
      </c>
    </row>
    <row r="31" spans="1:9" ht="26.25" hidden="1" thickBot="1" x14ac:dyDescent="0.3">
      <c r="A31" s="112" t="s">
        <v>1930</v>
      </c>
      <c r="B31" s="112" t="s">
        <v>1890</v>
      </c>
      <c r="C31" s="110" t="s">
        <v>1025</v>
      </c>
      <c r="D31" s="112">
        <v>1</v>
      </c>
      <c r="E31" s="112"/>
      <c r="F31" s="113" t="s">
        <v>1931</v>
      </c>
      <c r="G31" s="112"/>
      <c r="H31" s="112"/>
      <c r="I31" s="113" t="s">
        <v>1932</v>
      </c>
    </row>
    <row r="32" spans="1:9" ht="115.5" hidden="1" thickBot="1" x14ac:dyDescent="0.3">
      <c r="A32" s="109" t="s">
        <v>1933</v>
      </c>
      <c r="B32" s="109" t="s">
        <v>1895</v>
      </c>
      <c r="C32" s="110" t="s">
        <v>1025</v>
      </c>
      <c r="D32" s="109">
        <v>1</v>
      </c>
      <c r="E32" s="109"/>
      <c r="F32" s="114"/>
      <c r="G32" s="109" t="s">
        <v>1921</v>
      </c>
      <c r="H32" s="109" t="s">
        <v>58</v>
      </c>
      <c r="I32" s="109" t="s">
        <v>1934</v>
      </c>
    </row>
    <row r="33" spans="1:9" ht="51.75" hidden="1" thickBot="1" x14ac:dyDescent="0.3">
      <c r="A33" s="112" t="s">
        <v>1045</v>
      </c>
      <c r="B33" s="112" t="s">
        <v>1895</v>
      </c>
      <c r="C33" s="110" t="s">
        <v>1025</v>
      </c>
      <c r="D33" s="112">
        <v>1</v>
      </c>
      <c r="E33" s="112" t="s">
        <v>1915</v>
      </c>
      <c r="F33" s="113" t="s">
        <v>20</v>
      </c>
      <c r="G33" s="112" t="s">
        <v>1921</v>
      </c>
      <c r="H33" s="112" t="s">
        <v>58</v>
      </c>
      <c r="I33" s="113" t="s">
        <v>1935</v>
      </c>
    </row>
    <row r="34" spans="1:9" ht="64.5" hidden="1" thickBot="1" x14ac:dyDescent="0.3">
      <c r="A34" s="109" t="s">
        <v>1033</v>
      </c>
      <c r="B34" s="109" t="s">
        <v>1895</v>
      </c>
      <c r="C34" s="110" t="s">
        <v>1025</v>
      </c>
      <c r="D34" s="109">
        <v>1</v>
      </c>
      <c r="E34" s="109"/>
      <c r="F34" s="114"/>
      <c r="G34" s="109" t="s">
        <v>1921</v>
      </c>
      <c r="H34" s="109" t="s">
        <v>58</v>
      </c>
      <c r="I34" s="109" t="s">
        <v>1936</v>
      </c>
    </row>
    <row r="35" spans="1:9" ht="153.75" hidden="1" thickBot="1" x14ac:dyDescent="0.3">
      <c r="A35" s="112" t="s">
        <v>1034</v>
      </c>
      <c r="B35" s="112" t="s">
        <v>1895</v>
      </c>
      <c r="C35" s="110" t="s">
        <v>1025</v>
      </c>
      <c r="D35" s="112">
        <v>1</v>
      </c>
      <c r="E35" s="112"/>
      <c r="F35" s="113"/>
      <c r="G35" s="112" t="s">
        <v>1921</v>
      </c>
      <c r="H35" s="112" t="s">
        <v>58</v>
      </c>
      <c r="I35" s="113" t="s">
        <v>1937</v>
      </c>
    </row>
    <row r="36" spans="1:9" ht="179.25" hidden="1" thickBot="1" x14ac:dyDescent="0.3">
      <c r="A36" s="109" t="s">
        <v>1938</v>
      </c>
      <c r="B36" s="109" t="s">
        <v>1895</v>
      </c>
      <c r="C36" s="110" t="s">
        <v>1025</v>
      </c>
      <c r="D36" s="109">
        <v>1</v>
      </c>
      <c r="E36" s="109"/>
      <c r="F36" s="109"/>
      <c r="G36" s="109" t="s">
        <v>1939</v>
      </c>
      <c r="H36" s="109"/>
      <c r="I36" s="109" t="s">
        <v>1940</v>
      </c>
    </row>
    <row r="37" spans="1:9" ht="39" hidden="1" thickBot="1" x14ac:dyDescent="0.3">
      <c r="A37" s="112" t="s">
        <v>1941</v>
      </c>
      <c r="B37" s="112" t="s">
        <v>1895</v>
      </c>
      <c r="C37" s="110" t="s">
        <v>1025</v>
      </c>
      <c r="D37" s="112">
        <v>1</v>
      </c>
      <c r="E37" s="112" t="s">
        <v>1915</v>
      </c>
      <c r="F37" s="113"/>
      <c r="G37" s="112" t="s">
        <v>1921</v>
      </c>
      <c r="H37" s="112" t="s">
        <v>58</v>
      </c>
      <c r="I37" s="113" t="s">
        <v>1942</v>
      </c>
    </row>
    <row r="38" spans="1:9" ht="102.75" hidden="1" thickBot="1" x14ac:dyDescent="0.3">
      <c r="A38" s="109" t="s">
        <v>1095</v>
      </c>
      <c r="B38" s="109" t="s">
        <v>1895</v>
      </c>
      <c r="C38" s="110" t="s">
        <v>1025</v>
      </c>
      <c r="D38" s="109">
        <v>1</v>
      </c>
      <c r="E38" s="109" t="s">
        <v>1915</v>
      </c>
      <c r="F38" s="114"/>
      <c r="G38" s="109" t="s">
        <v>1943</v>
      </c>
      <c r="H38" s="109" t="s">
        <v>58</v>
      </c>
      <c r="I38" s="109" t="s">
        <v>1944</v>
      </c>
    </row>
    <row r="39" spans="1:9" ht="102.75" hidden="1" thickBot="1" x14ac:dyDescent="0.3">
      <c r="A39" s="112" t="s">
        <v>1945</v>
      </c>
      <c r="B39" s="112" t="s">
        <v>1895</v>
      </c>
      <c r="C39" s="110" t="s">
        <v>1025</v>
      </c>
      <c r="D39" s="112">
        <v>1</v>
      </c>
      <c r="E39" s="112"/>
      <c r="F39" s="113"/>
      <c r="G39" s="112" t="s">
        <v>1946</v>
      </c>
      <c r="H39" s="112"/>
      <c r="I39" s="113" t="s">
        <v>1947</v>
      </c>
    </row>
    <row r="40" spans="1:9" ht="15.75" hidden="1" thickBot="1" x14ac:dyDescent="0.3">
      <c r="A40" s="109" t="s">
        <v>1948</v>
      </c>
      <c r="B40" s="109" t="s">
        <v>1895</v>
      </c>
      <c r="C40" s="110" t="s">
        <v>1025</v>
      </c>
      <c r="D40" s="109">
        <v>1</v>
      </c>
      <c r="E40" s="109"/>
      <c r="F40" s="114"/>
      <c r="G40" s="109" t="s">
        <v>1943</v>
      </c>
      <c r="H40" s="109" t="s">
        <v>58</v>
      </c>
      <c r="I40" s="109" t="s">
        <v>1949</v>
      </c>
    </row>
    <row r="41" spans="1:9" ht="345" hidden="1" thickBot="1" x14ac:dyDescent="0.3">
      <c r="A41" s="112" t="s">
        <v>1057</v>
      </c>
      <c r="B41" s="112" t="s">
        <v>1895</v>
      </c>
      <c r="C41" s="110" t="s">
        <v>1025</v>
      </c>
      <c r="D41" s="112">
        <v>1</v>
      </c>
      <c r="E41" s="112" t="s">
        <v>1915</v>
      </c>
      <c r="F41" s="113"/>
      <c r="G41" s="112" t="s">
        <v>1950</v>
      </c>
      <c r="H41" s="112"/>
      <c r="I41" s="113" t="s">
        <v>1951</v>
      </c>
    </row>
    <row r="42" spans="1:9" ht="51.75" hidden="1" thickBot="1" x14ac:dyDescent="0.3">
      <c r="A42" s="109" t="s">
        <v>1952</v>
      </c>
      <c r="B42" s="109" t="s">
        <v>1953</v>
      </c>
      <c r="C42" s="110" t="s">
        <v>1025</v>
      </c>
      <c r="D42" s="109">
        <v>1</v>
      </c>
      <c r="E42" s="109"/>
      <c r="F42" s="109" t="s">
        <v>1954</v>
      </c>
      <c r="G42" s="109" t="s">
        <v>1943</v>
      </c>
      <c r="H42" s="109" t="s">
        <v>58</v>
      </c>
      <c r="I42" s="109" t="s">
        <v>1955</v>
      </c>
    </row>
    <row r="43" spans="1:9" ht="15.75" hidden="1" thickBot="1" x14ac:dyDescent="0.3">
      <c r="A43" s="111" t="s">
        <v>1956</v>
      </c>
      <c r="B43" s="112" t="s">
        <v>1953</v>
      </c>
      <c r="C43" s="110" t="s">
        <v>1025</v>
      </c>
      <c r="D43" s="112">
        <v>1</v>
      </c>
      <c r="E43" s="112"/>
      <c r="F43" s="113"/>
      <c r="G43" s="112"/>
      <c r="H43" s="112" t="s">
        <v>58</v>
      </c>
      <c r="I43" s="113"/>
    </row>
    <row r="44" spans="1:9" ht="15.75" hidden="1" thickBot="1" x14ac:dyDescent="0.3">
      <c r="A44" s="111" t="s">
        <v>1957</v>
      </c>
      <c r="B44" s="109" t="s">
        <v>1953</v>
      </c>
      <c r="C44" s="110" t="s">
        <v>1025</v>
      </c>
      <c r="D44" s="109">
        <v>1</v>
      </c>
      <c r="E44" s="109"/>
      <c r="F44" s="109"/>
      <c r="G44" s="109"/>
      <c r="H44" s="109" t="s">
        <v>58</v>
      </c>
      <c r="I44" s="109"/>
    </row>
    <row r="45" spans="1:9" ht="26.25" hidden="1" thickBot="1" x14ac:dyDescent="0.3">
      <c r="A45" s="112" t="s">
        <v>1958</v>
      </c>
      <c r="B45" s="112" t="s">
        <v>1953</v>
      </c>
      <c r="C45" s="110" t="s">
        <v>1025</v>
      </c>
      <c r="D45" s="112">
        <v>1</v>
      </c>
      <c r="E45" s="112"/>
      <c r="F45" s="113"/>
      <c r="G45" s="112"/>
      <c r="H45" s="112" t="s">
        <v>58</v>
      </c>
      <c r="I45" s="113" t="s">
        <v>1959</v>
      </c>
    </row>
    <row r="46" spans="1:9" ht="15.75" hidden="1" thickBot="1" x14ac:dyDescent="0.3">
      <c r="A46" s="111" t="s">
        <v>1960</v>
      </c>
      <c r="B46" s="109" t="s">
        <v>1953</v>
      </c>
      <c r="C46" s="110" t="s">
        <v>1025</v>
      </c>
      <c r="D46" s="109">
        <v>1</v>
      </c>
      <c r="E46" s="109"/>
      <c r="F46" s="109"/>
      <c r="G46" s="109"/>
      <c r="H46" s="109" t="s">
        <v>58</v>
      </c>
      <c r="I46" s="109"/>
    </row>
    <row r="47" spans="1:9" ht="15.75" hidden="1" thickBot="1" x14ac:dyDescent="0.3">
      <c r="A47" s="111" t="s">
        <v>1961</v>
      </c>
      <c r="B47" s="112" t="s">
        <v>1953</v>
      </c>
      <c r="C47" s="110" t="s">
        <v>1025</v>
      </c>
      <c r="D47" s="112">
        <v>1</v>
      </c>
      <c r="E47" s="112"/>
      <c r="F47" s="113"/>
      <c r="G47" s="112"/>
      <c r="H47" s="112" t="s">
        <v>58</v>
      </c>
      <c r="I47" s="113"/>
    </row>
    <row r="48" spans="1:9" ht="39" hidden="1" thickBot="1" x14ac:dyDescent="0.3">
      <c r="A48" s="109" t="s">
        <v>1091</v>
      </c>
      <c r="B48" s="109" t="s">
        <v>1895</v>
      </c>
      <c r="C48" s="110" t="s">
        <v>1025</v>
      </c>
      <c r="D48" s="109">
        <v>1</v>
      </c>
      <c r="E48" s="109"/>
      <c r="F48" s="114"/>
      <c r="G48" s="109" t="s">
        <v>1943</v>
      </c>
      <c r="H48" s="109" t="s">
        <v>58</v>
      </c>
      <c r="I48" s="109" t="s">
        <v>1962</v>
      </c>
    </row>
    <row r="49" spans="1:9" ht="51.75" hidden="1" thickBot="1" x14ac:dyDescent="0.3">
      <c r="A49" s="112" t="s">
        <v>1070</v>
      </c>
      <c r="B49" s="112" t="s">
        <v>1895</v>
      </c>
      <c r="C49" s="110" t="s">
        <v>1025</v>
      </c>
      <c r="D49" s="112">
        <v>1</v>
      </c>
      <c r="E49" s="112"/>
      <c r="F49" s="113"/>
      <c r="G49" s="112" t="s">
        <v>1943</v>
      </c>
      <c r="H49" s="112" t="s">
        <v>58</v>
      </c>
      <c r="I49" s="113" t="s">
        <v>1963</v>
      </c>
    </row>
    <row r="50" spans="1:9" ht="15.75" hidden="1" thickBot="1" x14ac:dyDescent="0.3">
      <c r="A50" s="109" t="s">
        <v>1964</v>
      </c>
      <c r="B50" s="109" t="s">
        <v>1895</v>
      </c>
      <c r="C50" s="110" t="s">
        <v>1025</v>
      </c>
      <c r="D50" s="109">
        <v>1</v>
      </c>
      <c r="E50" s="109"/>
      <c r="F50" s="109"/>
      <c r="G50" s="109" t="s">
        <v>1965</v>
      </c>
      <c r="H50" s="109"/>
      <c r="I50" s="109" t="s">
        <v>1966</v>
      </c>
    </row>
    <row r="51" spans="1:9" ht="115.5" hidden="1" thickBot="1" x14ac:dyDescent="0.3">
      <c r="A51" s="112" t="s">
        <v>1064</v>
      </c>
      <c r="B51" s="112" t="s">
        <v>1895</v>
      </c>
      <c r="C51" s="110" t="s">
        <v>1025</v>
      </c>
      <c r="D51" s="112">
        <v>1</v>
      </c>
      <c r="E51" s="112"/>
      <c r="F51" s="113"/>
      <c r="G51" s="112" t="s">
        <v>1943</v>
      </c>
      <c r="H51" s="112" t="s">
        <v>58</v>
      </c>
      <c r="I51" s="113" t="s">
        <v>1967</v>
      </c>
    </row>
    <row r="52" spans="1:9" ht="15.75" hidden="1" thickBot="1" x14ac:dyDescent="0.3">
      <c r="A52" s="109" t="s">
        <v>1968</v>
      </c>
      <c r="B52" s="109" t="s">
        <v>1895</v>
      </c>
      <c r="C52" s="110" t="s">
        <v>1025</v>
      </c>
      <c r="D52" s="109">
        <v>1</v>
      </c>
      <c r="E52" s="109"/>
      <c r="F52" s="114"/>
      <c r="G52" s="109" t="s">
        <v>1943</v>
      </c>
      <c r="H52" s="109" t="s">
        <v>58</v>
      </c>
      <c r="I52" s="109" t="s">
        <v>1969</v>
      </c>
    </row>
    <row r="53" spans="1:9" ht="15.75" hidden="1" thickBot="1" x14ac:dyDescent="0.3">
      <c r="A53" s="112" t="s">
        <v>1970</v>
      </c>
      <c r="B53" s="112" t="s">
        <v>1895</v>
      </c>
      <c r="C53" s="110" t="s">
        <v>1025</v>
      </c>
      <c r="D53" s="112">
        <v>1</v>
      </c>
      <c r="E53" s="112"/>
      <c r="F53" s="113"/>
      <c r="G53" s="112" t="s">
        <v>71</v>
      </c>
      <c r="H53" s="112"/>
      <c r="I53" s="113" t="s">
        <v>1971</v>
      </c>
    </row>
    <row r="54" spans="1:9" ht="153.75" hidden="1" thickBot="1" x14ac:dyDescent="0.3">
      <c r="A54" s="109" t="s">
        <v>1075</v>
      </c>
      <c r="B54" s="109" t="s">
        <v>1895</v>
      </c>
      <c r="C54" s="110" t="s">
        <v>1025</v>
      </c>
      <c r="D54" s="109">
        <v>1</v>
      </c>
      <c r="E54" s="109"/>
      <c r="F54" s="114"/>
      <c r="G54" s="109" t="s">
        <v>1943</v>
      </c>
      <c r="H54" s="109" t="s">
        <v>58</v>
      </c>
      <c r="I54" s="109" t="s">
        <v>1972</v>
      </c>
    </row>
    <row r="55" spans="1:9" ht="179.25" hidden="1" thickBot="1" x14ac:dyDescent="0.3">
      <c r="A55" s="112" t="s">
        <v>1058</v>
      </c>
      <c r="B55" s="112" t="s">
        <v>1895</v>
      </c>
      <c r="C55" s="110" t="s">
        <v>1025</v>
      </c>
      <c r="D55" s="112">
        <v>1</v>
      </c>
      <c r="E55" s="112"/>
      <c r="F55" s="113"/>
      <c r="G55" s="112" t="s">
        <v>1943</v>
      </c>
      <c r="H55" s="112" t="s">
        <v>58</v>
      </c>
      <c r="I55" s="113" t="s">
        <v>1973</v>
      </c>
    </row>
    <row r="56" spans="1:9" ht="243" hidden="1" thickBot="1" x14ac:dyDescent="0.3">
      <c r="A56" s="109" t="s">
        <v>1060</v>
      </c>
      <c r="B56" s="109" t="s">
        <v>1895</v>
      </c>
      <c r="C56" s="110" t="s">
        <v>1025</v>
      </c>
      <c r="D56" s="109">
        <v>1</v>
      </c>
      <c r="E56" s="109"/>
      <c r="F56" s="114"/>
      <c r="G56" s="109" t="s">
        <v>1943</v>
      </c>
      <c r="H56" s="109" t="s">
        <v>58</v>
      </c>
      <c r="I56" s="109" t="s">
        <v>1974</v>
      </c>
    </row>
    <row r="57" spans="1:9" ht="39" hidden="1" thickBot="1" x14ac:dyDescent="0.3">
      <c r="A57" s="112" t="s">
        <v>1066</v>
      </c>
      <c r="B57" s="112" t="s">
        <v>1895</v>
      </c>
      <c r="C57" s="110" t="s">
        <v>1025</v>
      </c>
      <c r="D57" s="112">
        <v>1</v>
      </c>
      <c r="E57" s="112"/>
      <c r="F57" s="113"/>
      <c r="G57" s="112" t="s">
        <v>1943</v>
      </c>
      <c r="H57" s="112" t="s">
        <v>58</v>
      </c>
      <c r="I57" s="113" t="s">
        <v>1975</v>
      </c>
    </row>
    <row r="58" spans="1:9" ht="64.5" hidden="1" thickBot="1" x14ac:dyDescent="0.3">
      <c r="A58" s="109" t="s">
        <v>1073</v>
      </c>
      <c r="B58" s="109" t="s">
        <v>1895</v>
      </c>
      <c r="C58" s="110" t="s">
        <v>1025</v>
      </c>
      <c r="D58" s="109">
        <v>1</v>
      </c>
      <c r="E58" s="109"/>
      <c r="F58" s="114"/>
      <c r="G58" s="109" t="s">
        <v>1950</v>
      </c>
      <c r="H58" s="109"/>
      <c r="I58" s="109" t="s">
        <v>1976</v>
      </c>
    </row>
    <row r="59" spans="1:9" ht="51.75" hidden="1" thickBot="1" x14ac:dyDescent="0.3">
      <c r="A59" s="112" t="s">
        <v>1120</v>
      </c>
      <c r="B59" s="112" t="s">
        <v>1895</v>
      </c>
      <c r="C59" s="110" t="s">
        <v>1025</v>
      </c>
      <c r="D59" s="112">
        <v>1</v>
      </c>
      <c r="E59" s="112"/>
      <c r="F59" s="113"/>
      <c r="G59" s="112" t="s">
        <v>1943</v>
      </c>
      <c r="H59" s="112" t="s">
        <v>58</v>
      </c>
      <c r="I59" s="113" t="s">
        <v>1977</v>
      </c>
    </row>
    <row r="60" spans="1:9" ht="39" hidden="1" thickBot="1" x14ac:dyDescent="0.3">
      <c r="A60" s="109" t="s">
        <v>1124</v>
      </c>
      <c r="B60" s="109" t="s">
        <v>1895</v>
      </c>
      <c r="C60" s="110" t="s">
        <v>1025</v>
      </c>
      <c r="D60" s="109">
        <v>1</v>
      </c>
      <c r="E60" s="109" t="s">
        <v>1915</v>
      </c>
      <c r="F60" s="109" t="s">
        <v>1978</v>
      </c>
      <c r="G60" s="109" t="s">
        <v>1943</v>
      </c>
      <c r="H60" s="109" t="s">
        <v>58</v>
      </c>
      <c r="I60" s="109" t="s">
        <v>1979</v>
      </c>
    </row>
    <row r="61" spans="1:9" ht="15.75" hidden="1" thickBot="1" x14ac:dyDescent="0.3">
      <c r="A61" s="112" t="s">
        <v>1980</v>
      </c>
      <c r="B61" s="112" t="s">
        <v>1895</v>
      </c>
      <c r="C61" s="110" t="s">
        <v>1025</v>
      </c>
      <c r="D61" s="112">
        <v>1</v>
      </c>
      <c r="E61" s="112"/>
      <c r="F61" s="113"/>
      <c r="G61" s="112" t="s">
        <v>71</v>
      </c>
      <c r="H61" s="112"/>
      <c r="I61" s="113" t="s">
        <v>1981</v>
      </c>
    </row>
    <row r="62" spans="1:9" ht="102.75" hidden="1" thickBot="1" x14ac:dyDescent="0.3">
      <c r="A62" s="109" t="s">
        <v>1044</v>
      </c>
      <c r="B62" s="109" t="s">
        <v>1890</v>
      </c>
      <c r="C62" s="110" t="s">
        <v>1025</v>
      </c>
      <c r="D62" s="109">
        <v>1</v>
      </c>
      <c r="E62" s="109"/>
      <c r="F62" s="109" t="s">
        <v>1982</v>
      </c>
      <c r="G62" s="109" t="s">
        <v>1983</v>
      </c>
      <c r="H62" s="109" t="s">
        <v>58</v>
      </c>
      <c r="I62" s="109" t="s">
        <v>1984</v>
      </c>
    </row>
    <row r="63" spans="1:9" ht="179.25" hidden="1" thickBot="1" x14ac:dyDescent="0.3">
      <c r="A63" s="112" t="s">
        <v>1985</v>
      </c>
      <c r="B63" s="112" t="s">
        <v>1890</v>
      </c>
      <c r="C63" s="110" t="s">
        <v>1025</v>
      </c>
      <c r="D63" s="112">
        <v>1</v>
      </c>
      <c r="E63" s="112"/>
      <c r="F63" s="113"/>
      <c r="G63" s="112" t="s">
        <v>1983</v>
      </c>
      <c r="H63" s="112" t="s">
        <v>58</v>
      </c>
      <c r="I63" s="113" t="s">
        <v>1986</v>
      </c>
    </row>
    <row r="64" spans="1:9" ht="77.25" hidden="1" thickBot="1" x14ac:dyDescent="0.3">
      <c r="A64" s="109" t="s">
        <v>1987</v>
      </c>
      <c r="B64" s="109" t="s">
        <v>1890</v>
      </c>
      <c r="C64" s="110" t="s">
        <v>1025</v>
      </c>
      <c r="D64" s="109">
        <v>1</v>
      </c>
      <c r="E64" s="109"/>
      <c r="F64" s="109"/>
      <c r="G64" s="109"/>
      <c r="H64" s="109"/>
      <c r="I64" s="109" t="s">
        <v>1988</v>
      </c>
    </row>
    <row r="65" spans="1:9" ht="15.75" hidden="1" thickBot="1" x14ac:dyDescent="0.3">
      <c r="A65" s="111" t="s">
        <v>1989</v>
      </c>
      <c r="B65" s="112" t="s">
        <v>1890</v>
      </c>
      <c r="C65" s="110" t="s">
        <v>1025</v>
      </c>
      <c r="D65" s="112">
        <v>1</v>
      </c>
      <c r="E65" s="112"/>
      <c r="F65" s="113"/>
      <c r="G65" s="112"/>
      <c r="H65" s="112"/>
      <c r="I65" s="113"/>
    </row>
    <row r="66" spans="1:9" ht="15.75" hidden="1" thickBot="1" x14ac:dyDescent="0.3">
      <c r="A66" s="111" t="s">
        <v>1990</v>
      </c>
      <c r="B66" s="109" t="s">
        <v>1890</v>
      </c>
      <c r="C66" s="110" t="s">
        <v>1025</v>
      </c>
      <c r="D66" s="109">
        <v>1</v>
      </c>
      <c r="E66" s="109"/>
      <c r="F66" s="109"/>
      <c r="G66" s="109"/>
      <c r="H66" s="109"/>
      <c r="I66" s="109"/>
    </row>
    <row r="67" spans="1:9" ht="15.75" hidden="1" thickBot="1" x14ac:dyDescent="0.3">
      <c r="A67" s="111" t="s">
        <v>1991</v>
      </c>
      <c r="B67" s="112" t="s">
        <v>1890</v>
      </c>
      <c r="C67" s="110" t="s">
        <v>1025</v>
      </c>
      <c r="D67" s="112">
        <v>1</v>
      </c>
      <c r="E67" s="112"/>
      <c r="F67" s="113"/>
      <c r="G67" s="112"/>
      <c r="H67" s="112"/>
      <c r="I67" s="113"/>
    </row>
    <row r="68" spans="1:9" ht="15.75" hidden="1" thickBot="1" x14ac:dyDescent="0.3">
      <c r="A68" s="111" t="s">
        <v>1992</v>
      </c>
      <c r="B68" s="109" t="s">
        <v>1890</v>
      </c>
      <c r="C68" s="110" t="s">
        <v>1025</v>
      </c>
      <c r="D68" s="109">
        <v>1</v>
      </c>
      <c r="E68" s="109"/>
      <c r="F68" s="109"/>
      <c r="G68" s="109"/>
      <c r="H68" s="109"/>
      <c r="I68" s="109"/>
    </row>
    <row r="69" spans="1:9" ht="15.75" hidden="1" thickBot="1" x14ac:dyDescent="0.3">
      <c r="A69" s="111" t="s">
        <v>1993</v>
      </c>
      <c r="B69" s="112" t="s">
        <v>1890</v>
      </c>
      <c r="C69" s="110" t="s">
        <v>1025</v>
      </c>
      <c r="D69" s="112">
        <v>1</v>
      </c>
      <c r="E69" s="112"/>
      <c r="F69" s="113"/>
      <c r="G69" s="112"/>
      <c r="H69" s="112"/>
      <c r="I69" s="113"/>
    </row>
    <row r="70" spans="1:9" ht="15.75" hidden="1" thickBot="1" x14ac:dyDescent="0.3">
      <c r="A70" s="111" t="s">
        <v>1994</v>
      </c>
      <c r="B70" s="109" t="s">
        <v>1890</v>
      </c>
      <c r="C70" s="110" t="s">
        <v>1025</v>
      </c>
      <c r="D70" s="109">
        <v>1</v>
      </c>
      <c r="E70" s="109"/>
      <c r="F70" s="109"/>
      <c r="G70" s="109"/>
      <c r="H70" s="109"/>
      <c r="I70" s="109"/>
    </row>
    <row r="71" spans="1:9" ht="15.75" hidden="1" thickBot="1" x14ac:dyDescent="0.3">
      <c r="A71" s="111" t="s">
        <v>1995</v>
      </c>
      <c r="B71" s="112" t="s">
        <v>1890</v>
      </c>
      <c r="C71" s="110" t="s">
        <v>1025</v>
      </c>
      <c r="D71" s="112">
        <v>1</v>
      </c>
      <c r="E71" s="112"/>
      <c r="F71" s="113"/>
      <c r="G71" s="112"/>
      <c r="H71" s="112"/>
      <c r="I71" s="113"/>
    </row>
    <row r="72" spans="1:9" ht="15.75" hidden="1" thickBot="1" x14ac:dyDescent="0.3">
      <c r="A72" s="111" t="s">
        <v>1996</v>
      </c>
      <c r="B72" s="109" t="s">
        <v>1890</v>
      </c>
      <c r="C72" s="110" t="s">
        <v>1025</v>
      </c>
      <c r="D72" s="109">
        <v>1</v>
      </c>
      <c r="E72" s="109"/>
      <c r="F72" s="109"/>
      <c r="G72" s="109"/>
      <c r="H72" s="109"/>
      <c r="I72" s="109"/>
    </row>
    <row r="73" spans="1:9" ht="15.75" hidden="1" thickBot="1" x14ac:dyDescent="0.3">
      <c r="A73" s="112" t="s">
        <v>1997</v>
      </c>
      <c r="B73" s="112" t="s">
        <v>1890</v>
      </c>
      <c r="C73" s="110" t="s">
        <v>1025</v>
      </c>
      <c r="D73" s="112">
        <v>1</v>
      </c>
      <c r="E73" s="112"/>
      <c r="F73" s="113"/>
      <c r="G73" s="112"/>
      <c r="H73" s="112"/>
      <c r="I73" s="113" t="s">
        <v>1998</v>
      </c>
    </row>
    <row r="74" spans="1:9" ht="15.75" hidden="1" thickBot="1" x14ac:dyDescent="0.3">
      <c r="A74" s="111" t="s">
        <v>1999</v>
      </c>
      <c r="B74" s="109" t="s">
        <v>1890</v>
      </c>
      <c r="C74" s="110" t="s">
        <v>1025</v>
      </c>
      <c r="D74" s="109">
        <v>1</v>
      </c>
      <c r="E74" s="109"/>
      <c r="F74" s="109"/>
      <c r="G74" s="109"/>
      <c r="H74" s="109"/>
      <c r="I74" s="109"/>
    </row>
    <row r="75" spans="1:9" ht="102.75" hidden="1" thickBot="1" x14ac:dyDescent="0.3">
      <c r="A75" s="112" t="s">
        <v>2000</v>
      </c>
      <c r="B75" s="112" t="s">
        <v>1890</v>
      </c>
      <c r="C75" s="110" t="s">
        <v>1025</v>
      </c>
      <c r="D75" s="112">
        <v>1</v>
      </c>
      <c r="E75" s="112"/>
      <c r="F75" s="113"/>
      <c r="G75" s="112"/>
      <c r="H75" s="112"/>
      <c r="I75" s="113" t="s">
        <v>2001</v>
      </c>
    </row>
    <row r="76" spans="1:9" ht="15.75" hidden="1" thickBot="1" x14ac:dyDescent="0.3">
      <c r="A76" s="111" t="s">
        <v>2002</v>
      </c>
      <c r="B76" s="109" t="s">
        <v>1895</v>
      </c>
      <c r="C76" s="110" t="s">
        <v>1025</v>
      </c>
      <c r="D76" s="109">
        <v>1</v>
      </c>
      <c r="E76" s="109"/>
      <c r="F76" s="114"/>
      <c r="G76" s="109" t="s">
        <v>1950</v>
      </c>
      <c r="H76" s="109"/>
      <c r="I76" s="109"/>
    </row>
    <row r="77" spans="1:9" ht="15.75" hidden="1" thickBot="1" x14ac:dyDescent="0.3">
      <c r="A77" s="112" t="s">
        <v>2003</v>
      </c>
      <c r="B77" s="112" t="s">
        <v>1895</v>
      </c>
      <c r="C77" s="110" t="s">
        <v>1025</v>
      </c>
      <c r="D77" s="112">
        <v>1</v>
      </c>
      <c r="E77" s="112"/>
      <c r="F77" s="113"/>
      <c r="G77" s="112" t="s">
        <v>1950</v>
      </c>
      <c r="H77" s="112"/>
      <c r="I77" s="113" t="s">
        <v>2004</v>
      </c>
    </row>
    <row r="78" spans="1:9" ht="51.75" hidden="1" thickBot="1" x14ac:dyDescent="0.3">
      <c r="A78" s="109" t="s">
        <v>1062</v>
      </c>
      <c r="B78" s="109" t="s">
        <v>2005</v>
      </c>
      <c r="C78" s="110" t="s">
        <v>1025</v>
      </c>
      <c r="D78" s="109">
        <v>1</v>
      </c>
      <c r="E78" s="109"/>
      <c r="F78" s="109"/>
      <c r="G78" s="109" t="s">
        <v>1983</v>
      </c>
      <c r="H78" s="109" t="s">
        <v>58</v>
      </c>
      <c r="I78" s="109" t="s">
        <v>2006</v>
      </c>
    </row>
    <row r="79" spans="1:9" ht="90" hidden="1" thickBot="1" x14ac:dyDescent="0.3">
      <c r="A79" s="112" t="s">
        <v>2007</v>
      </c>
      <c r="B79" s="112" t="s">
        <v>2005</v>
      </c>
      <c r="C79" s="110" t="s">
        <v>1025</v>
      </c>
      <c r="D79" s="112">
        <v>1</v>
      </c>
      <c r="E79" s="112"/>
      <c r="F79" s="113"/>
      <c r="G79" s="112" t="s">
        <v>1983</v>
      </c>
      <c r="H79" s="112" t="s">
        <v>58</v>
      </c>
      <c r="I79" s="113" t="s">
        <v>2008</v>
      </c>
    </row>
    <row r="80" spans="1:9" ht="15.75" hidden="1" thickBot="1" x14ac:dyDescent="0.3">
      <c r="A80" s="109" t="s">
        <v>1087</v>
      </c>
      <c r="B80" s="109" t="s">
        <v>2005</v>
      </c>
      <c r="C80" s="110" t="s">
        <v>1025</v>
      </c>
      <c r="D80" s="109">
        <v>1</v>
      </c>
      <c r="E80" s="109"/>
      <c r="F80" s="109"/>
      <c r="G80" s="109" t="s">
        <v>1983</v>
      </c>
      <c r="H80" s="109" t="s">
        <v>58</v>
      </c>
      <c r="I80" s="109" t="s">
        <v>2009</v>
      </c>
    </row>
    <row r="81" spans="1:9" ht="294" hidden="1" thickBot="1" x14ac:dyDescent="0.3">
      <c r="A81" s="112" t="s">
        <v>1041</v>
      </c>
      <c r="B81" s="112" t="s">
        <v>1895</v>
      </c>
      <c r="C81" s="110" t="s">
        <v>1025</v>
      </c>
      <c r="D81" s="112">
        <v>1</v>
      </c>
      <c r="E81" s="112" t="s">
        <v>1915</v>
      </c>
      <c r="F81" s="113"/>
      <c r="G81" s="112" t="s">
        <v>1983</v>
      </c>
      <c r="H81" s="112" t="s">
        <v>58</v>
      </c>
      <c r="I81" s="113" t="s">
        <v>2010</v>
      </c>
    </row>
    <row r="82" spans="1:9" ht="15.75" hidden="1" thickBot="1" x14ac:dyDescent="0.3">
      <c r="A82" s="109" t="s">
        <v>2011</v>
      </c>
      <c r="B82" s="109" t="s">
        <v>1895</v>
      </c>
      <c r="C82" s="110" t="s">
        <v>1025</v>
      </c>
      <c r="D82" s="109">
        <v>1</v>
      </c>
      <c r="E82" s="109"/>
      <c r="F82" s="114"/>
      <c r="G82" s="109" t="s">
        <v>2012</v>
      </c>
      <c r="H82" s="109"/>
      <c r="I82" s="109" t="s">
        <v>2013</v>
      </c>
    </row>
    <row r="83" spans="1:9" ht="64.5" hidden="1" thickBot="1" x14ac:dyDescent="0.3">
      <c r="A83" s="112" t="s">
        <v>2014</v>
      </c>
      <c r="B83" s="112" t="s">
        <v>1895</v>
      </c>
      <c r="C83" s="110" t="s">
        <v>1025</v>
      </c>
      <c r="D83" s="112">
        <v>1</v>
      </c>
      <c r="E83" s="112"/>
      <c r="F83" s="113"/>
      <c r="G83" s="112" t="s">
        <v>1983</v>
      </c>
      <c r="H83" s="112" t="s">
        <v>58</v>
      </c>
      <c r="I83" s="113" t="s">
        <v>2015</v>
      </c>
    </row>
    <row r="84" spans="1:9" ht="15.75" hidden="1" thickBot="1" x14ac:dyDescent="0.3">
      <c r="A84" s="109" t="s">
        <v>1039</v>
      </c>
      <c r="B84" s="109" t="s">
        <v>1895</v>
      </c>
      <c r="C84" s="110" t="s">
        <v>2016</v>
      </c>
      <c r="D84" s="109">
        <v>1</v>
      </c>
      <c r="E84" s="109"/>
      <c r="F84" s="114"/>
      <c r="G84" s="109" t="s">
        <v>2017</v>
      </c>
      <c r="H84" s="109" t="s">
        <v>58</v>
      </c>
      <c r="I84" s="109" t="s">
        <v>2018</v>
      </c>
    </row>
    <row r="85" spans="1:9" ht="77.25" hidden="1" thickBot="1" x14ac:dyDescent="0.3">
      <c r="A85" s="112" t="s">
        <v>1105</v>
      </c>
      <c r="B85" s="112" t="s">
        <v>1953</v>
      </c>
      <c r="C85" s="110" t="s">
        <v>1025</v>
      </c>
      <c r="D85" s="112">
        <v>1</v>
      </c>
      <c r="E85" s="112"/>
      <c r="F85" s="113" t="s">
        <v>2019</v>
      </c>
      <c r="G85" s="112" t="s">
        <v>1983</v>
      </c>
      <c r="H85" s="112" t="s">
        <v>58</v>
      </c>
      <c r="I85" s="113" t="s">
        <v>2020</v>
      </c>
    </row>
    <row r="86" spans="1:9" ht="153.75" hidden="1" thickBot="1" x14ac:dyDescent="0.3">
      <c r="A86" s="109" t="s">
        <v>2021</v>
      </c>
      <c r="B86" s="109" t="s">
        <v>1895</v>
      </c>
      <c r="C86" s="110" t="s">
        <v>1025</v>
      </c>
      <c r="D86" s="109">
        <v>1</v>
      </c>
      <c r="E86" s="109"/>
      <c r="F86" s="114"/>
      <c r="G86" s="109" t="s">
        <v>1983</v>
      </c>
      <c r="H86" s="109" t="s">
        <v>58</v>
      </c>
      <c r="I86" s="109" t="s">
        <v>2022</v>
      </c>
    </row>
    <row r="87" spans="1:9" ht="26.25" hidden="1" thickBot="1" x14ac:dyDescent="0.3">
      <c r="A87" s="112" t="s">
        <v>1055</v>
      </c>
      <c r="B87" s="112" t="s">
        <v>2023</v>
      </c>
      <c r="C87" s="110" t="s">
        <v>1025</v>
      </c>
      <c r="D87" s="112">
        <v>1</v>
      </c>
      <c r="E87" s="112"/>
      <c r="F87" s="113"/>
      <c r="G87" s="112" t="s">
        <v>2024</v>
      </c>
      <c r="H87" s="112" t="s">
        <v>58</v>
      </c>
      <c r="I87" s="113" t="s">
        <v>2025</v>
      </c>
    </row>
    <row r="88" spans="1:9" ht="243" hidden="1" thickBot="1" x14ac:dyDescent="0.3">
      <c r="A88" s="109" t="s">
        <v>1030</v>
      </c>
      <c r="B88" s="109" t="s">
        <v>2023</v>
      </c>
      <c r="C88" s="110" t="s">
        <v>1025</v>
      </c>
      <c r="D88" s="109">
        <v>1</v>
      </c>
      <c r="E88" s="109"/>
      <c r="F88" s="114"/>
      <c r="G88" s="109" t="s">
        <v>2024</v>
      </c>
      <c r="H88" s="109" t="s">
        <v>58</v>
      </c>
      <c r="I88" s="109" t="s">
        <v>2026</v>
      </c>
    </row>
    <row r="89" spans="1:9" ht="15.75" hidden="1" thickBot="1" x14ac:dyDescent="0.3">
      <c r="A89" s="111" t="s">
        <v>2027</v>
      </c>
      <c r="B89" s="112" t="s">
        <v>2023</v>
      </c>
      <c r="C89" s="110" t="s">
        <v>1025</v>
      </c>
      <c r="D89" s="112">
        <v>1</v>
      </c>
      <c r="E89" s="112"/>
      <c r="F89" s="113"/>
      <c r="G89" s="112" t="s">
        <v>2024</v>
      </c>
      <c r="H89" s="112" t="s">
        <v>58</v>
      </c>
      <c r="I89" s="113"/>
    </row>
    <row r="90" spans="1:9" ht="90" hidden="1" thickBot="1" x14ac:dyDescent="0.3">
      <c r="A90" s="109" t="s">
        <v>1035</v>
      </c>
      <c r="B90" s="109" t="s">
        <v>2023</v>
      </c>
      <c r="C90" s="110" t="s">
        <v>1025</v>
      </c>
      <c r="D90" s="109">
        <v>1</v>
      </c>
      <c r="E90" s="109"/>
      <c r="F90" s="114"/>
      <c r="G90" s="109" t="s">
        <v>2024</v>
      </c>
      <c r="H90" s="109" t="s">
        <v>58</v>
      </c>
      <c r="I90" s="109" t="s">
        <v>2028</v>
      </c>
    </row>
    <row r="91" spans="1:9" ht="77.25" hidden="1" thickBot="1" x14ac:dyDescent="0.3">
      <c r="A91" s="112" t="s">
        <v>2029</v>
      </c>
      <c r="B91" s="112" t="s">
        <v>1895</v>
      </c>
      <c r="C91" s="115" t="s">
        <v>884</v>
      </c>
      <c r="D91" s="112">
        <v>2</v>
      </c>
      <c r="E91" s="112" t="s">
        <v>1915</v>
      </c>
      <c r="F91" s="113" t="s">
        <v>2030</v>
      </c>
      <c r="G91" s="112" t="s">
        <v>1950</v>
      </c>
      <c r="H91" s="112"/>
      <c r="I91" s="113" t="s">
        <v>2031</v>
      </c>
    </row>
    <row r="92" spans="1:9" ht="15.75" hidden="1" thickBot="1" x14ac:dyDescent="0.3">
      <c r="A92" s="111" t="s">
        <v>2032</v>
      </c>
      <c r="B92" s="109" t="s">
        <v>1895</v>
      </c>
      <c r="C92" s="115" t="s">
        <v>884</v>
      </c>
      <c r="D92" s="109">
        <v>2</v>
      </c>
      <c r="E92" s="109" t="s">
        <v>1915</v>
      </c>
      <c r="F92" s="109" t="s">
        <v>2033</v>
      </c>
      <c r="G92" s="109" t="s">
        <v>1950</v>
      </c>
      <c r="H92" s="109"/>
      <c r="I92" s="109"/>
    </row>
    <row r="93" spans="1:9" ht="115.5" hidden="1" thickBot="1" x14ac:dyDescent="0.3">
      <c r="A93" s="112" t="s">
        <v>2034</v>
      </c>
      <c r="B93" s="112" t="s">
        <v>1895</v>
      </c>
      <c r="C93" s="115" t="s">
        <v>884</v>
      </c>
      <c r="D93" s="112">
        <v>2</v>
      </c>
      <c r="E93" s="112" t="s">
        <v>1915</v>
      </c>
      <c r="F93" s="113" t="s">
        <v>2035</v>
      </c>
      <c r="G93" s="112" t="s">
        <v>1950</v>
      </c>
      <c r="H93" s="112"/>
      <c r="I93" s="113" t="s">
        <v>2036</v>
      </c>
    </row>
    <row r="94" spans="1:9" ht="15.75" hidden="1" thickBot="1" x14ac:dyDescent="0.3">
      <c r="A94" s="111" t="s">
        <v>2037</v>
      </c>
      <c r="B94" s="109" t="s">
        <v>1895</v>
      </c>
      <c r="C94" s="115" t="s">
        <v>884</v>
      </c>
      <c r="D94" s="109">
        <v>2</v>
      </c>
      <c r="E94" s="109" t="s">
        <v>1915</v>
      </c>
      <c r="F94" s="109" t="s">
        <v>2038</v>
      </c>
      <c r="G94" s="109" t="s">
        <v>1950</v>
      </c>
      <c r="H94" s="109"/>
      <c r="I94" s="109"/>
    </row>
    <row r="95" spans="1:9" ht="15.75" hidden="1" thickBot="1" x14ac:dyDescent="0.3">
      <c r="A95" s="111" t="s">
        <v>2039</v>
      </c>
      <c r="B95" s="112" t="s">
        <v>1895</v>
      </c>
      <c r="C95" s="115" t="s">
        <v>884</v>
      </c>
      <c r="D95" s="112">
        <v>2</v>
      </c>
      <c r="E95" s="112" t="s">
        <v>1915</v>
      </c>
      <c r="F95" s="113" t="s">
        <v>2040</v>
      </c>
      <c r="G95" s="112" t="s">
        <v>2041</v>
      </c>
      <c r="H95" s="112" t="s">
        <v>58</v>
      </c>
      <c r="I95" s="113"/>
    </row>
    <row r="96" spans="1:9" ht="15.75" hidden="1" thickBot="1" x14ac:dyDescent="0.3">
      <c r="A96" s="109" t="s">
        <v>2042</v>
      </c>
      <c r="B96" s="109" t="s">
        <v>1895</v>
      </c>
      <c r="C96" s="115" t="s">
        <v>884</v>
      </c>
      <c r="D96" s="109">
        <v>2</v>
      </c>
      <c r="E96" s="109" t="s">
        <v>1915</v>
      </c>
      <c r="F96" s="109" t="s">
        <v>2043</v>
      </c>
      <c r="G96" s="109" t="s">
        <v>1950</v>
      </c>
      <c r="H96" s="109"/>
      <c r="I96" s="109" t="s">
        <v>2044</v>
      </c>
    </row>
    <row r="97" spans="1:9" ht="15.75" hidden="1" thickBot="1" x14ac:dyDescent="0.3">
      <c r="A97" s="111" t="s">
        <v>2045</v>
      </c>
      <c r="B97" s="112" t="s">
        <v>1895</v>
      </c>
      <c r="C97" s="115" t="s">
        <v>884</v>
      </c>
      <c r="D97" s="112">
        <v>2</v>
      </c>
      <c r="E97" s="112" t="s">
        <v>1915</v>
      </c>
      <c r="F97" s="113" t="s">
        <v>2046</v>
      </c>
      <c r="G97" s="112" t="s">
        <v>1950</v>
      </c>
      <c r="H97" s="112"/>
      <c r="I97" s="113"/>
    </row>
    <row r="98" spans="1:9" ht="64.5" hidden="1" thickBot="1" x14ac:dyDescent="0.3">
      <c r="A98" s="109" t="s">
        <v>2047</v>
      </c>
      <c r="B98" s="109" t="s">
        <v>2048</v>
      </c>
      <c r="C98" s="115" t="s">
        <v>884</v>
      </c>
      <c r="D98" s="109">
        <v>2</v>
      </c>
      <c r="E98" s="109" t="s">
        <v>1915</v>
      </c>
      <c r="F98" s="109" t="s">
        <v>2049</v>
      </c>
      <c r="G98" s="109" t="s">
        <v>2050</v>
      </c>
      <c r="H98" s="109" t="s">
        <v>2051</v>
      </c>
      <c r="I98" s="109" t="s">
        <v>2052</v>
      </c>
    </row>
    <row r="99" spans="1:9" ht="141" hidden="1" thickBot="1" x14ac:dyDescent="0.3">
      <c r="A99" s="112" t="s">
        <v>2053</v>
      </c>
      <c r="B99" s="112" t="s">
        <v>1890</v>
      </c>
      <c r="C99" s="115" t="s">
        <v>884</v>
      </c>
      <c r="D99" s="112">
        <v>2</v>
      </c>
      <c r="E99" s="112"/>
      <c r="F99" s="113" t="s">
        <v>1982</v>
      </c>
      <c r="G99" s="112" t="s">
        <v>2054</v>
      </c>
      <c r="H99" s="112" t="s">
        <v>2055</v>
      </c>
      <c r="I99" s="113" t="s">
        <v>2056</v>
      </c>
    </row>
    <row r="100" spans="1:9" ht="64.5" hidden="1" thickBot="1" x14ac:dyDescent="0.3">
      <c r="A100" s="109" t="s">
        <v>2057</v>
      </c>
      <c r="B100" s="109" t="s">
        <v>2023</v>
      </c>
      <c r="C100" s="115" t="s">
        <v>884</v>
      </c>
      <c r="D100" s="109">
        <v>2</v>
      </c>
      <c r="E100" s="109" t="s">
        <v>1915</v>
      </c>
      <c r="F100" s="109" t="s">
        <v>1978</v>
      </c>
      <c r="G100" s="109" t="s">
        <v>2058</v>
      </c>
      <c r="H100" s="109" t="s">
        <v>2059</v>
      </c>
      <c r="I100" s="109" t="s">
        <v>2060</v>
      </c>
    </row>
    <row r="101" spans="1:9" ht="115.5" hidden="1" thickBot="1" x14ac:dyDescent="0.3">
      <c r="A101" s="112" t="s">
        <v>2061</v>
      </c>
      <c r="B101" s="112" t="s">
        <v>1953</v>
      </c>
      <c r="C101" s="115" t="s">
        <v>884</v>
      </c>
      <c r="D101" s="112">
        <v>2</v>
      </c>
      <c r="E101" s="112"/>
      <c r="F101" s="113"/>
      <c r="G101" s="112"/>
      <c r="H101" s="112"/>
      <c r="I101" s="113" t="s">
        <v>2062</v>
      </c>
    </row>
    <row r="102" spans="1:9" ht="15.75" hidden="1" thickBot="1" x14ac:dyDescent="0.3">
      <c r="A102" s="111" t="s">
        <v>2063</v>
      </c>
      <c r="B102" s="109" t="s">
        <v>1953</v>
      </c>
      <c r="C102" s="115" t="s">
        <v>884</v>
      </c>
      <c r="D102" s="109">
        <v>2</v>
      </c>
      <c r="E102" s="109"/>
      <c r="F102" s="114"/>
      <c r="G102" s="109"/>
      <c r="H102" s="109"/>
      <c r="I102" s="109"/>
    </row>
    <row r="103" spans="1:9" ht="39" hidden="1" thickBot="1" x14ac:dyDescent="0.3">
      <c r="A103" s="112" t="s">
        <v>2064</v>
      </c>
      <c r="B103" s="112" t="s">
        <v>1953</v>
      </c>
      <c r="C103" s="115" t="s">
        <v>884</v>
      </c>
      <c r="D103" s="112">
        <v>2</v>
      </c>
      <c r="E103" s="112"/>
      <c r="F103" s="113"/>
      <c r="G103" s="112"/>
      <c r="H103" s="112"/>
      <c r="I103" s="113" t="s">
        <v>2065</v>
      </c>
    </row>
    <row r="104" spans="1:9" ht="128.25" hidden="1" thickBot="1" x14ac:dyDescent="0.3">
      <c r="A104" s="109" t="s">
        <v>2066</v>
      </c>
      <c r="B104" s="109" t="s">
        <v>1953</v>
      </c>
      <c r="C104" s="115" t="s">
        <v>884</v>
      </c>
      <c r="D104" s="109">
        <v>2</v>
      </c>
      <c r="E104" s="109"/>
      <c r="F104" s="109"/>
      <c r="G104" s="109"/>
      <c r="H104" s="109"/>
      <c r="I104" s="109" t="s">
        <v>2067</v>
      </c>
    </row>
    <row r="105" spans="1:9" ht="15.75" hidden="1" thickBot="1" x14ac:dyDescent="0.3">
      <c r="A105" s="111" t="s">
        <v>2068</v>
      </c>
      <c r="B105" s="116" t="s">
        <v>1953</v>
      </c>
      <c r="C105" s="117" t="s">
        <v>884</v>
      </c>
      <c r="D105" s="116">
        <v>2</v>
      </c>
      <c r="E105" s="116"/>
      <c r="F105" s="118"/>
      <c r="G105" s="116"/>
      <c r="H105" s="116"/>
      <c r="I105" s="113"/>
    </row>
    <row r="106" spans="1:9" ht="26.25" hidden="1" thickBot="1" x14ac:dyDescent="0.3">
      <c r="A106" s="109" t="s">
        <v>2069</v>
      </c>
      <c r="B106" s="109" t="s">
        <v>1953</v>
      </c>
      <c r="C106" s="115" t="s">
        <v>884</v>
      </c>
      <c r="D106" s="109">
        <v>2</v>
      </c>
      <c r="E106" s="109"/>
      <c r="F106" s="109"/>
      <c r="G106" s="109"/>
      <c r="H106" s="109"/>
      <c r="I106" s="109" t="s">
        <v>2070</v>
      </c>
    </row>
    <row r="107" spans="1:9" ht="26.25" hidden="1" thickBot="1" x14ac:dyDescent="0.3">
      <c r="A107" s="112" t="s">
        <v>2071</v>
      </c>
      <c r="B107" s="112" t="s">
        <v>1953</v>
      </c>
      <c r="C107" s="115" t="s">
        <v>884</v>
      </c>
      <c r="D107" s="112">
        <v>2</v>
      </c>
      <c r="E107" s="112"/>
      <c r="F107" s="113"/>
      <c r="G107" s="112"/>
      <c r="H107" s="112"/>
      <c r="I107" s="113" t="s">
        <v>2072</v>
      </c>
    </row>
    <row r="108" spans="1:9" ht="15.75" hidden="1" thickBot="1" x14ac:dyDescent="0.3">
      <c r="A108" s="109" t="s">
        <v>2073</v>
      </c>
      <c r="B108" s="109" t="s">
        <v>1953</v>
      </c>
      <c r="C108" s="115" t="s">
        <v>884</v>
      </c>
      <c r="D108" s="109">
        <v>2</v>
      </c>
      <c r="E108" s="109"/>
      <c r="F108" s="109"/>
      <c r="G108" s="109"/>
      <c r="H108" s="109"/>
      <c r="I108" s="109" t="s">
        <v>2074</v>
      </c>
    </row>
    <row r="109" spans="1:9" ht="26.25" hidden="1" thickBot="1" x14ac:dyDescent="0.3">
      <c r="A109" s="112" t="s">
        <v>2075</v>
      </c>
      <c r="B109" s="112" t="s">
        <v>1953</v>
      </c>
      <c r="C109" s="115" t="s">
        <v>884</v>
      </c>
      <c r="D109" s="112">
        <v>2</v>
      </c>
      <c r="E109" s="112"/>
      <c r="F109" s="113"/>
      <c r="G109" s="112"/>
      <c r="H109" s="112"/>
      <c r="I109" s="113" t="s">
        <v>2076</v>
      </c>
    </row>
    <row r="110" spans="1:9" ht="26.25" hidden="1" thickBot="1" x14ac:dyDescent="0.3">
      <c r="A110" s="109" t="s">
        <v>2077</v>
      </c>
      <c r="B110" s="109" t="s">
        <v>1953</v>
      </c>
      <c r="C110" s="115" t="s">
        <v>884</v>
      </c>
      <c r="D110" s="109">
        <v>2</v>
      </c>
      <c r="E110" s="109"/>
      <c r="F110" s="109"/>
      <c r="G110" s="109"/>
      <c r="H110" s="109"/>
      <c r="I110" s="109" t="s">
        <v>2078</v>
      </c>
    </row>
    <row r="111" spans="1:9" ht="15.75" hidden="1" thickBot="1" x14ac:dyDescent="0.3">
      <c r="A111" s="112" t="s">
        <v>2079</v>
      </c>
      <c r="B111" s="112" t="s">
        <v>1953</v>
      </c>
      <c r="C111" s="115" t="s">
        <v>884</v>
      </c>
      <c r="D111" s="112">
        <v>2</v>
      </c>
      <c r="E111" s="112"/>
      <c r="F111" s="113"/>
      <c r="G111" s="112"/>
      <c r="H111" s="112"/>
      <c r="I111" s="113" t="s">
        <v>2080</v>
      </c>
    </row>
    <row r="112" spans="1:9" ht="26.25" hidden="1" thickBot="1" x14ac:dyDescent="0.3">
      <c r="A112" s="109" t="s">
        <v>2081</v>
      </c>
      <c r="B112" s="109" t="s">
        <v>1953</v>
      </c>
      <c r="C112" s="115" t="s">
        <v>884</v>
      </c>
      <c r="D112" s="109">
        <v>2</v>
      </c>
      <c r="E112" s="109"/>
      <c r="F112" s="109"/>
      <c r="G112" s="109"/>
      <c r="H112" s="109"/>
      <c r="I112" s="109" t="s">
        <v>2082</v>
      </c>
    </row>
    <row r="113" spans="1:9" ht="15.75" hidden="1" thickBot="1" x14ac:dyDescent="0.3">
      <c r="A113" s="112" t="s">
        <v>2083</v>
      </c>
      <c r="B113" s="112" t="s">
        <v>1953</v>
      </c>
      <c r="C113" s="115" t="s">
        <v>884</v>
      </c>
      <c r="D113" s="112">
        <v>2</v>
      </c>
      <c r="E113" s="112"/>
      <c r="F113" s="113"/>
      <c r="G113" s="112"/>
      <c r="H113" s="112"/>
      <c r="I113" s="113" t="s">
        <v>2084</v>
      </c>
    </row>
    <row r="114" spans="1:9" ht="15.75" hidden="1" thickBot="1" x14ac:dyDescent="0.3">
      <c r="A114" s="111" t="s">
        <v>2085</v>
      </c>
      <c r="B114" s="119" t="s">
        <v>1953</v>
      </c>
      <c r="C114" s="117" t="s">
        <v>884</v>
      </c>
      <c r="D114" s="119">
        <v>2</v>
      </c>
      <c r="E114" s="119"/>
      <c r="F114" s="120"/>
      <c r="G114" s="119"/>
      <c r="H114" s="119"/>
      <c r="I114" s="109"/>
    </row>
    <row r="115" spans="1:9" ht="15.75" hidden="1" thickBot="1" x14ac:dyDescent="0.3">
      <c r="A115" s="111" t="s">
        <v>2086</v>
      </c>
      <c r="B115" s="112" t="s">
        <v>1953</v>
      </c>
      <c r="C115" s="115" t="s">
        <v>884</v>
      </c>
      <c r="D115" s="112">
        <v>2</v>
      </c>
      <c r="E115" s="112"/>
      <c r="F115" s="113"/>
      <c r="G115" s="112"/>
      <c r="H115" s="112"/>
      <c r="I115" s="113"/>
    </row>
    <row r="116" spans="1:9" ht="15.75" hidden="1" thickBot="1" x14ac:dyDescent="0.3">
      <c r="A116" s="109" t="s">
        <v>2087</v>
      </c>
      <c r="B116" s="109" t="s">
        <v>1953</v>
      </c>
      <c r="C116" s="115" t="s">
        <v>884</v>
      </c>
      <c r="D116" s="109">
        <v>2</v>
      </c>
      <c r="E116" s="109"/>
      <c r="F116" s="109"/>
      <c r="G116" s="109"/>
      <c r="H116" s="109"/>
      <c r="I116" s="109" t="s">
        <v>2088</v>
      </c>
    </row>
    <row r="117" spans="1:9" ht="15.75" hidden="1" thickBot="1" x14ac:dyDescent="0.3">
      <c r="A117" s="111" t="s">
        <v>2089</v>
      </c>
      <c r="B117" s="112" t="s">
        <v>1953</v>
      </c>
      <c r="C117" s="115" t="s">
        <v>884</v>
      </c>
      <c r="D117" s="112">
        <v>2</v>
      </c>
      <c r="E117" s="112"/>
      <c r="F117" s="113"/>
      <c r="G117" s="112"/>
      <c r="H117" s="112"/>
      <c r="I117" s="113"/>
    </row>
    <row r="118" spans="1:9" ht="15.75" hidden="1" thickBot="1" x14ac:dyDescent="0.3">
      <c r="A118" s="111" t="s">
        <v>2090</v>
      </c>
      <c r="B118" s="109" t="s">
        <v>1953</v>
      </c>
      <c r="C118" s="115" t="s">
        <v>884</v>
      </c>
      <c r="D118" s="109">
        <v>2</v>
      </c>
      <c r="E118" s="109"/>
      <c r="F118" s="109"/>
      <c r="G118" s="109"/>
      <c r="H118" s="109"/>
      <c r="I118" s="109"/>
    </row>
    <row r="119" spans="1:9" ht="77.25" hidden="1" thickBot="1" x14ac:dyDescent="0.3">
      <c r="A119" s="112" t="s">
        <v>2091</v>
      </c>
      <c r="B119" s="112" t="s">
        <v>1953</v>
      </c>
      <c r="C119" s="115" t="s">
        <v>884</v>
      </c>
      <c r="D119" s="112">
        <v>2</v>
      </c>
      <c r="E119" s="112"/>
      <c r="F119" s="113"/>
      <c r="G119" s="112"/>
      <c r="H119" s="112"/>
      <c r="I119" s="113" t="s">
        <v>2092</v>
      </c>
    </row>
    <row r="120" spans="1:9" ht="102.75" hidden="1" thickBot="1" x14ac:dyDescent="0.3">
      <c r="A120" s="109" t="s">
        <v>2093</v>
      </c>
      <c r="B120" s="109" t="s">
        <v>1953</v>
      </c>
      <c r="C120" s="115" t="s">
        <v>884</v>
      </c>
      <c r="D120" s="109">
        <v>2</v>
      </c>
      <c r="E120" s="109"/>
      <c r="F120" s="109"/>
      <c r="G120" s="109"/>
      <c r="H120" s="109"/>
      <c r="I120" s="109" t="s">
        <v>2094</v>
      </c>
    </row>
    <row r="121" spans="1:9" ht="51.75" hidden="1" thickBot="1" x14ac:dyDescent="0.3">
      <c r="A121" s="112" t="s">
        <v>2095</v>
      </c>
      <c r="B121" s="112" t="s">
        <v>1953</v>
      </c>
      <c r="C121" s="115" t="s">
        <v>884</v>
      </c>
      <c r="D121" s="112">
        <v>2</v>
      </c>
      <c r="E121" s="112"/>
      <c r="F121" s="113"/>
      <c r="G121" s="112"/>
      <c r="H121" s="112"/>
      <c r="I121" s="113" t="s">
        <v>2096</v>
      </c>
    </row>
    <row r="122" spans="1:9" ht="26.25" hidden="1" thickBot="1" x14ac:dyDescent="0.3">
      <c r="A122" s="109" t="s">
        <v>2097</v>
      </c>
      <c r="B122" s="109" t="s">
        <v>1953</v>
      </c>
      <c r="C122" s="115" t="s">
        <v>884</v>
      </c>
      <c r="D122" s="109">
        <v>2</v>
      </c>
      <c r="E122" s="109"/>
      <c r="F122" s="109"/>
      <c r="G122" s="109"/>
      <c r="H122" s="109"/>
      <c r="I122" s="109" t="s">
        <v>2098</v>
      </c>
    </row>
    <row r="123" spans="1:9" ht="15.75" hidden="1" thickBot="1" x14ac:dyDescent="0.3">
      <c r="A123" s="111" t="s">
        <v>2099</v>
      </c>
      <c r="B123" s="112" t="s">
        <v>1953</v>
      </c>
      <c r="C123" s="115" t="s">
        <v>884</v>
      </c>
      <c r="D123" s="112">
        <v>2</v>
      </c>
      <c r="E123" s="112"/>
      <c r="F123" s="113"/>
      <c r="G123" s="112"/>
      <c r="H123" s="112"/>
      <c r="I123" s="113"/>
    </row>
    <row r="124" spans="1:9" ht="15.75" hidden="1" thickBot="1" x14ac:dyDescent="0.3">
      <c r="A124" s="109" t="s">
        <v>2100</v>
      </c>
      <c r="B124" s="109" t="s">
        <v>1953</v>
      </c>
      <c r="C124" s="115" t="s">
        <v>884</v>
      </c>
      <c r="D124" s="109">
        <v>2</v>
      </c>
      <c r="E124" s="109"/>
      <c r="F124" s="109"/>
      <c r="G124" s="109"/>
      <c r="H124" s="109"/>
      <c r="I124" s="109" t="s">
        <v>2101</v>
      </c>
    </row>
    <row r="125" spans="1:9" ht="39" hidden="1" thickBot="1" x14ac:dyDescent="0.3">
      <c r="A125" s="112" t="s">
        <v>2102</v>
      </c>
      <c r="B125" s="112" t="s">
        <v>1953</v>
      </c>
      <c r="C125" s="115" t="s">
        <v>884</v>
      </c>
      <c r="D125" s="112">
        <v>2</v>
      </c>
      <c r="E125" s="112"/>
      <c r="F125" s="113"/>
      <c r="G125" s="112"/>
      <c r="H125" s="112"/>
      <c r="I125" s="113" t="s">
        <v>2103</v>
      </c>
    </row>
    <row r="126" spans="1:9" ht="39" hidden="1" thickBot="1" x14ac:dyDescent="0.3">
      <c r="A126" s="109" t="s">
        <v>2104</v>
      </c>
      <c r="B126" s="109" t="s">
        <v>1953</v>
      </c>
      <c r="C126" s="115" t="s">
        <v>884</v>
      </c>
      <c r="D126" s="109">
        <v>2</v>
      </c>
      <c r="E126" s="109"/>
      <c r="F126" s="109"/>
      <c r="G126" s="109"/>
      <c r="H126" s="109"/>
      <c r="I126" s="109" t="s">
        <v>2105</v>
      </c>
    </row>
    <row r="127" spans="1:9" ht="51.75" hidden="1" thickBot="1" x14ac:dyDescent="0.3">
      <c r="A127" s="112" t="s">
        <v>2106</v>
      </c>
      <c r="B127" s="112" t="s">
        <v>1953</v>
      </c>
      <c r="C127" s="115" t="s">
        <v>884</v>
      </c>
      <c r="D127" s="112">
        <v>2</v>
      </c>
      <c r="E127" s="112"/>
      <c r="F127" s="113"/>
      <c r="G127" s="112"/>
      <c r="H127" s="112"/>
      <c r="I127" s="113" t="s">
        <v>2107</v>
      </c>
    </row>
    <row r="128" spans="1:9" ht="26.25" hidden="1" thickBot="1" x14ac:dyDescent="0.3">
      <c r="A128" s="109" t="s">
        <v>2108</v>
      </c>
      <c r="B128" s="109" t="s">
        <v>1953</v>
      </c>
      <c r="C128" s="115" t="s">
        <v>884</v>
      </c>
      <c r="D128" s="109">
        <v>2</v>
      </c>
      <c r="E128" s="109"/>
      <c r="F128" s="109"/>
      <c r="G128" s="109"/>
      <c r="H128" s="109"/>
      <c r="I128" s="109" t="s">
        <v>2109</v>
      </c>
    </row>
    <row r="129" spans="1:9" ht="115.5" hidden="1" thickBot="1" x14ac:dyDescent="0.3">
      <c r="A129" s="112" t="s">
        <v>2110</v>
      </c>
      <c r="B129" s="112" t="s">
        <v>1953</v>
      </c>
      <c r="C129" s="115" t="s">
        <v>884</v>
      </c>
      <c r="D129" s="112">
        <v>2</v>
      </c>
      <c r="E129" s="112"/>
      <c r="F129" s="113"/>
      <c r="G129" s="112"/>
      <c r="H129" s="112"/>
      <c r="I129" s="113" t="s">
        <v>2111</v>
      </c>
    </row>
    <row r="130" spans="1:9" ht="15.75" hidden="1" thickBot="1" x14ac:dyDescent="0.3">
      <c r="A130" s="109" t="s">
        <v>2112</v>
      </c>
      <c r="B130" s="109" t="s">
        <v>1953</v>
      </c>
      <c r="C130" s="115" t="s">
        <v>884</v>
      </c>
      <c r="D130" s="109">
        <v>2</v>
      </c>
      <c r="E130" s="109"/>
      <c r="F130" s="109"/>
      <c r="G130" s="109"/>
      <c r="H130" s="109"/>
      <c r="I130" s="109" t="s">
        <v>2044</v>
      </c>
    </row>
    <row r="131" spans="1:9" ht="15.75" hidden="1" thickBot="1" x14ac:dyDescent="0.3">
      <c r="A131" s="112" t="s">
        <v>2113</v>
      </c>
      <c r="B131" s="112" t="s">
        <v>1953</v>
      </c>
      <c r="C131" s="115" t="s">
        <v>884</v>
      </c>
      <c r="D131" s="112">
        <v>2</v>
      </c>
      <c r="E131" s="112"/>
      <c r="F131" s="113"/>
      <c r="G131" s="112"/>
      <c r="H131" s="112"/>
      <c r="I131" s="113" t="s">
        <v>2114</v>
      </c>
    </row>
    <row r="132" spans="1:9" ht="39" hidden="1" thickBot="1" x14ac:dyDescent="0.3">
      <c r="A132" s="109" t="s">
        <v>2115</v>
      </c>
      <c r="B132" s="109" t="s">
        <v>1953</v>
      </c>
      <c r="C132" s="115" t="s">
        <v>884</v>
      </c>
      <c r="D132" s="109">
        <v>2</v>
      </c>
      <c r="E132" s="109"/>
      <c r="F132" s="109"/>
      <c r="G132" s="109"/>
      <c r="H132" s="109"/>
      <c r="I132" s="109" t="s">
        <v>2065</v>
      </c>
    </row>
    <row r="133" spans="1:9" ht="15.75" hidden="1" thickBot="1" x14ac:dyDescent="0.3">
      <c r="A133" s="112" t="s">
        <v>2116</v>
      </c>
      <c r="B133" s="112" t="s">
        <v>1953</v>
      </c>
      <c r="C133" s="115" t="s">
        <v>884</v>
      </c>
      <c r="D133" s="112">
        <v>2</v>
      </c>
      <c r="E133" s="112"/>
      <c r="F133" s="113"/>
      <c r="G133" s="112"/>
      <c r="H133" s="112"/>
      <c r="I133" s="113" t="s">
        <v>2117</v>
      </c>
    </row>
    <row r="134" spans="1:9" ht="15.75" hidden="1" thickBot="1" x14ac:dyDescent="0.3">
      <c r="A134" s="109" t="s">
        <v>2118</v>
      </c>
      <c r="B134" s="109" t="s">
        <v>1953</v>
      </c>
      <c r="C134" s="115" t="s">
        <v>884</v>
      </c>
      <c r="D134" s="109">
        <v>2</v>
      </c>
      <c r="E134" s="109"/>
      <c r="F134" s="109"/>
      <c r="G134" s="109"/>
      <c r="H134" s="109"/>
      <c r="I134" s="109" t="s">
        <v>2119</v>
      </c>
    </row>
    <row r="135" spans="1:9" ht="15.75" hidden="1" thickBot="1" x14ac:dyDescent="0.3">
      <c r="A135" s="112" t="s">
        <v>2120</v>
      </c>
      <c r="B135" s="112" t="s">
        <v>1953</v>
      </c>
      <c r="C135" s="115" t="s">
        <v>884</v>
      </c>
      <c r="D135" s="112">
        <v>2</v>
      </c>
      <c r="E135" s="112"/>
      <c r="F135" s="113"/>
      <c r="G135" s="112"/>
      <c r="H135" s="112"/>
      <c r="I135" s="113" t="s">
        <v>2121</v>
      </c>
    </row>
    <row r="136" spans="1:9" ht="39" hidden="1" thickBot="1" x14ac:dyDescent="0.3">
      <c r="A136" s="109" t="s">
        <v>2122</v>
      </c>
      <c r="B136" s="109" t="s">
        <v>1953</v>
      </c>
      <c r="C136" s="115" t="s">
        <v>884</v>
      </c>
      <c r="D136" s="109">
        <v>2</v>
      </c>
      <c r="E136" s="109"/>
      <c r="F136" s="109"/>
      <c r="G136" s="109"/>
      <c r="H136" s="109"/>
      <c r="I136" s="109" t="s">
        <v>2123</v>
      </c>
    </row>
    <row r="137" spans="1:9" ht="15.75" hidden="1" thickBot="1" x14ac:dyDescent="0.3">
      <c r="A137" s="111" t="s">
        <v>2124</v>
      </c>
      <c r="B137" s="112" t="s">
        <v>1953</v>
      </c>
      <c r="C137" s="115" t="s">
        <v>884</v>
      </c>
      <c r="D137" s="112">
        <v>2</v>
      </c>
      <c r="E137" s="112"/>
      <c r="F137" s="113"/>
      <c r="G137" s="112"/>
      <c r="H137" s="112"/>
      <c r="I137" s="113"/>
    </row>
    <row r="138" spans="1:9" ht="26.25" hidden="1" thickBot="1" x14ac:dyDescent="0.3">
      <c r="A138" s="109" t="s">
        <v>2125</v>
      </c>
      <c r="B138" s="109" t="s">
        <v>1953</v>
      </c>
      <c r="C138" s="115" t="s">
        <v>884</v>
      </c>
      <c r="D138" s="109">
        <v>2</v>
      </c>
      <c r="E138" s="109"/>
      <c r="F138" s="109"/>
      <c r="G138" s="109"/>
      <c r="H138" s="109"/>
      <c r="I138" s="109" t="s">
        <v>2126</v>
      </c>
    </row>
    <row r="139" spans="1:9" ht="15.75" hidden="1" thickBot="1" x14ac:dyDescent="0.3">
      <c r="A139" s="111" t="s">
        <v>2127</v>
      </c>
      <c r="B139" s="112" t="s">
        <v>1890</v>
      </c>
      <c r="C139" s="115" t="s">
        <v>884</v>
      </c>
      <c r="D139" s="112">
        <v>2</v>
      </c>
      <c r="E139" s="112"/>
      <c r="F139" s="113"/>
      <c r="G139" s="112"/>
      <c r="H139" s="112" t="s">
        <v>2128</v>
      </c>
      <c r="I139" s="113"/>
    </row>
    <row r="140" spans="1:9" ht="15.75" hidden="1" thickBot="1" x14ac:dyDescent="0.3">
      <c r="A140" s="109" t="s">
        <v>2129</v>
      </c>
      <c r="B140" s="109" t="s">
        <v>1890</v>
      </c>
      <c r="C140" s="115" t="s">
        <v>884</v>
      </c>
      <c r="D140" s="109">
        <v>2</v>
      </c>
      <c r="E140" s="109"/>
      <c r="F140" s="109"/>
      <c r="G140" s="109"/>
      <c r="H140" s="109" t="s">
        <v>2130</v>
      </c>
      <c r="I140" s="109" t="s">
        <v>2131</v>
      </c>
    </row>
    <row r="141" spans="1:9" ht="39" hidden="1" thickBot="1" x14ac:dyDescent="0.3">
      <c r="A141" s="112" t="s">
        <v>2132</v>
      </c>
      <c r="B141" s="112" t="s">
        <v>1890</v>
      </c>
      <c r="C141" s="115" t="s">
        <v>884</v>
      </c>
      <c r="D141" s="112">
        <v>2</v>
      </c>
      <c r="E141" s="112"/>
      <c r="F141" s="113"/>
      <c r="G141" s="112"/>
      <c r="H141" s="112" t="s">
        <v>2133</v>
      </c>
      <c r="I141" s="113" t="s">
        <v>2134</v>
      </c>
    </row>
    <row r="142" spans="1:9" ht="15.75" hidden="1" thickBot="1" x14ac:dyDescent="0.3">
      <c r="A142" s="111" t="s">
        <v>1765</v>
      </c>
      <c r="B142" s="109" t="s">
        <v>1890</v>
      </c>
      <c r="C142" s="115" t="s">
        <v>884</v>
      </c>
      <c r="D142" s="109">
        <v>2</v>
      </c>
      <c r="E142" s="109"/>
      <c r="F142" s="114"/>
      <c r="G142" s="109"/>
      <c r="H142" s="109" t="s">
        <v>2135</v>
      </c>
      <c r="I142" s="109"/>
    </row>
    <row r="143" spans="1:9" ht="26.25" hidden="1" thickBot="1" x14ac:dyDescent="0.3">
      <c r="A143" s="112" t="s">
        <v>2136</v>
      </c>
      <c r="B143" s="112" t="s">
        <v>1890</v>
      </c>
      <c r="C143" s="115" t="s">
        <v>884</v>
      </c>
      <c r="D143" s="112">
        <v>2</v>
      </c>
      <c r="E143" s="112"/>
      <c r="F143" s="113"/>
      <c r="G143" s="112"/>
      <c r="H143" s="112" t="s">
        <v>2137</v>
      </c>
      <c r="I143" s="113" t="s">
        <v>2138</v>
      </c>
    </row>
    <row r="144" spans="1:9" ht="15.75" hidden="1" thickBot="1" x14ac:dyDescent="0.3">
      <c r="A144" s="111" t="s">
        <v>2139</v>
      </c>
      <c r="B144" s="109" t="s">
        <v>1890</v>
      </c>
      <c r="C144" s="115" t="s">
        <v>884</v>
      </c>
      <c r="D144" s="109">
        <v>2</v>
      </c>
      <c r="E144" s="109"/>
      <c r="F144" s="114"/>
      <c r="G144" s="109"/>
      <c r="H144" s="109"/>
      <c r="I144" s="109"/>
    </row>
    <row r="145" spans="1:9" ht="15.75" hidden="1" thickBot="1" x14ac:dyDescent="0.3">
      <c r="A145" s="111" t="s">
        <v>2140</v>
      </c>
      <c r="B145" s="112" t="s">
        <v>1890</v>
      </c>
      <c r="C145" s="115" t="s">
        <v>884</v>
      </c>
      <c r="D145" s="112">
        <v>2</v>
      </c>
      <c r="E145" s="112"/>
      <c r="F145" s="113"/>
      <c r="G145" s="112"/>
      <c r="H145" s="112" t="s">
        <v>2141</v>
      </c>
      <c r="I145" s="113"/>
    </row>
    <row r="146" spans="1:9" ht="15.75" hidden="1" thickBot="1" x14ac:dyDescent="0.3">
      <c r="A146" s="109" t="s">
        <v>2142</v>
      </c>
      <c r="B146" s="109" t="s">
        <v>1890</v>
      </c>
      <c r="C146" s="115" t="s">
        <v>884</v>
      </c>
      <c r="D146" s="109">
        <v>2</v>
      </c>
      <c r="E146" s="109"/>
      <c r="F146" s="114"/>
      <c r="G146" s="109"/>
      <c r="H146" s="109" t="s">
        <v>2143</v>
      </c>
      <c r="I146" s="109" t="s">
        <v>2144</v>
      </c>
    </row>
    <row r="147" spans="1:9" ht="153.75" hidden="1" thickBot="1" x14ac:dyDescent="0.3">
      <c r="A147" s="112" t="s">
        <v>981</v>
      </c>
      <c r="B147" s="112" t="s">
        <v>1895</v>
      </c>
      <c r="C147" s="115" t="s">
        <v>884</v>
      </c>
      <c r="D147" s="112">
        <v>2</v>
      </c>
      <c r="E147" s="112"/>
      <c r="F147" s="113"/>
      <c r="G147" s="112" t="s">
        <v>2145</v>
      </c>
      <c r="H147" s="112" t="s">
        <v>2146</v>
      </c>
      <c r="I147" s="113" t="s">
        <v>2147</v>
      </c>
    </row>
    <row r="148" spans="1:9" ht="51.75" hidden="1" thickBot="1" x14ac:dyDescent="0.3">
      <c r="A148" s="109" t="s">
        <v>1008</v>
      </c>
      <c r="B148" s="109" t="s">
        <v>1895</v>
      </c>
      <c r="C148" s="115" t="s">
        <v>884</v>
      </c>
      <c r="D148" s="109">
        <v>2</v>
      </c>
      <c r="E148" s="109" t="s">
        <v>1915</v>
      </c>
      <c r="F148" s="114"/>
      <c r="G148" s="109" t="s">
        <v>2145</v>
      </c>
      <c r="H148" s="109" t="s">
        <v>2148</v>
      </c>
      <c r="I148" s="109" t="s">
        <v>2149</v>
      </c>
    </row>
    <row r="149" spans="1:9" ht="345" hidden="1" thickBot="1" x14ac:dyDescent="0.3">
      <c r="A149" s="112" t="s">
        <v>910</v>
      </c>
      <c r="B149" s="112" t="s">
        <v>1895</v>
      </c>
      <c r="C149" s="115" t="s">
        <v>884</v>
      </c>
      <c r="D149" s="112">
        <v>2</v>
      </c>
      <c r="E149" s="112"/>
      <c r="F149" s="113"/>
      <c r="G149" s="112" t="s">
        <v>2150</v>
      </c>
      <c r="H149" s="112" t="s">
        <v>2151</v>
      </c>
      <c r="I149" s="113" t="s">
        <v>2152</v>
      </c>
    </row>
    <row r="150" spans="1:9" ht="306.75" hidden="1" thickBot="1" x14ac:dyDescent="0.3">
      <c r="A150" s="109" t="s">
        <v>2153</v>
      </c>
      <c r="B150" s="109" t="s">
        <v>1895</v>
      </c>
      <c r="C150" s="115" t="s">
        <v>884</v>
      </c>
      <c r="D150" s="109">
        <v>2</v>
      </c>
      <c r="E150" s="109"/>
      <c r="F150" s="114"/>
      <c r="G150" s="109"/>
      <c r="H150" s="109" t="s">
        <v>2154</v>
      </c>
      <c r="I150" s="109" t="s">
        <v>2155</v>
      </c>
    </row>
    <row r="151" spans="1:9" ht="26.25" hidden="1" thickBot="1" x14ac:dyDescent="0.3">
      <c r="A151" s="112" t="s">
        <v>2156</v>
      </c>
      <c r="B151" s="112" t="s">
        <v>1895</v>
      </c>
      <c r="C151" s="115" t="s">
        <v>884</v>
      </c>
      <c r="D151" s="112">
        <v>2</v>
      </c>
      <c r="E151" s="112"/>
      <c r="F151" s="113"/>
      <c r="G151" s="112" t="s">
        <v>2157</v>
      </c>
      <c r="H151" s="118"/>
      <c r="I151" s="113" t="s">
        <v>2158</v>
      </c>
    </row>
    <row r="152" spans="1:9" ht="15.75" hidden="1" thickBot="1" x14ac:dyDescent="0.3">
      <c r="A152" s="111" t="s">
        <v>2159</v>
      </c>
      <c r="B152" s="109" t="s">
        <v>1895</v>
      </c>
      <c r="C152" s="115" t="s">
        <v>884</v>
      </c>
      <c r="D152" s="109">
        <v>2</v>
      </c>
      <c r="E152" s="109"/>
      <c r="F152" s="114"/>
      <c r="G152" s="109"/>
      <c r="H152" s="109"/>
      <c r="I152" s="109"/>
    </row>
    <row r="153" spans="1:9" ht="15.75" hidden="1" thickBot="1" x14ac:dyDescent="0.3">
      <c r="A153" s="111" t="s">
        <v>2160</v>
      </c>
      <c r="B153" s="112" t="s">
        <v>1895</v>
      </c>
      <c r="C153" s="115" t="s">
        <v>884</v>
      </c>
      <c r="D153" s="112">
        <v>2</v>
      </c>
      <c r="E153" s="112"/>
      <c r="F153" s="113"/>
      <c r="G153" s="112"/>
      <c r="H153" s="112"/>
      <c r="I153" s="113"/>
    </row>
    <row r="154" spans="1:9" ht="15.75" hidden="1" thickBot="1" x14ac:dyDescent="0.3">
      <c r="A154" s="109" t="s">
        <v>2161</v>
      </c>
      <c r="B154" s="109" t="s">
        <v>1895</v>
      </c>
      <c r="C154" s="115" t="s">
        <v>884</v>
      </c>
      <c r="D154" s="109">
        <v>2</v>
      </c>
      <c r="E154" s="109"/>
      <c r="F154" s="114"/>
      <c r="G154" s="109" t="s">
        <v>2162</v>
      </c>
      <c r="H154" s="109" t="s">
        <v>58</v>
      </c>
      <c r="I154" s="109" t="s">
        <v>2163</v>
      </c>
    </row>
    <row r="155" spans="1:9" ht="15.75" hidden="1" thickBot="1" x14ac:dyDescent="0.3">
      <c r="A155" s="112" t="s">
        <v>2164</v>
      </c>
      <c r="B155" s="112" t="s">
        <v>1895</v>
      </c>
      <c r="C155" s="115" t="s">
        <v>884</v>
      </c>
      <c r="D155" s="112">
        <v>2</v>
      </c>
      <c r="E155" s="112"/>
      <c r="F155" s="113"/>
      <c r="G155" s="112" t="s">
        <v>2165</v>
      </c>
      <c r="H155" s="112" t="s">
        <v>58</v>
      </c>
      <c r="I155" s="113" t="s">
        <v>2166</v>
      </c>
    </row>
    <row r="156" spans="1:9" ht="15.75" hidden="1" thickBot="1" x14ac:dyDescent="0.3">
      <c r="A156" s="111" t="s">
        <v>2167</v>
      </c>
      <c r="B156" s="109" t="s">
        <v>1895</v>
      </c>
      <c r="C156" s="115" t="s">
        <v>884</v>
      </c>
      <c r="D156" s="109">
        <v>2</v>
      </c>
      <c r="E156" s="109" t="s">
        <v>1915</v>
      </c>
      <c r="F156" s="114"/>
      <c r="G156" s="109" t="s">
        <v>1950</v>
      </c>
      <c r="H156" s="109"/>
      <c r="I156" s="109"/>
    </row>
    <row r="157" spans="1:9" ht="15.75" hidden="1" thickBot="1" x14ac:dyDescent="0.3">
      <c r="A157" s="112" t="s">
        <v>2168</v>
      </c>
      <c r="B157" s="112" t="s">
        <v>1953</v>
      </c>
      <c r="C157" s="115" t="s">
        <v>884</v>
      </c>
      <c r="D157" s="112">
        <v>2</v>
      </c>
      <c r="E157" s="112"/>
      <c r="F157" s="113" t="s">
        <v>2169</v>
      </c>
      <c r="G157" s="112" t="s">
        <v>2170</v>
      </c>
      <c r="H157" s="112" t="s">
        <v>58</v>
      </c>
      <c r="I157" s="113" t="s">
        <v>2171</v>
      </c>
    </row>
    <row r="158" spans="1:9" ht="26.25" hidden="1" thickBot="1" x14ac:dyDescent="0.3">
      <c r="A158" s="109" t="s">
        <v>2172</v>
      </c>
      <c r="B158" s="109" t="s">
        <v>1953</v>
      </c>
      <c r="C158" s="115" t="s">
        <v>884</v>
      </c>
      <c r="D158" s="109">
        <v>2</v>
      </c>
      <c r="E158" s="109"/>
      <c r="F158" s="109" t="s">
        <v>2173</v>
      </c>
      <c r="G158" s="109" t="s">
        <v>2174</v>
      </c>
      <c r="H158" s="109"/>
      <c r="I158" s="109" t="s">
        <v>2175</v>
      </c>
    </row>
    <row r="159" spans="1:9" ht="90" hidden="1" thickBot="1" x14ac:dyDescent="0.3">
      <c r="A159" s="112" t="s">
        <v>923</v>
      </c>
      <c r="B159" s="112" t="s">
        <v>1895</v>
      </c>
      <c r="C159" s="115" t="s">
        <v>884</v>
      </c>
      <c r="D159" s="112">
        <v>2</v>
      </c>
      <c r="E159" s="112"/>
      <c r="F159" s="113"/>
      <c r="G159" s="112" t="s">
        <v>2176</v>
      </c>
      <c r="H159" s="112" t="s">
        <v>2177</v>
      </c>
      <c r="I159" s="113" t="s">
        <v>2178</v>
      </c>
    </row>
    <row r="160" spans="1:9" ht="141" hidden="1" thickBot="1" x14ac:dyDescent="0.3">
      <c r="A160" s="109" t="s">
        <v>885</v>
      </c>
      <c r="B160" s="109" t="s">
        <v>1895</v>
      </c>
      <c r="C160" s="115" t="s">
        <v>884</v>
      </c>
      <c r="D160" s="109">
        <v>2</v>
      </c>
      <c r="E160" s="109" t="s">
        <v>1915</v>
      </c>
      <c r="F160" s="114"/>
      <c r="G160" s="109" t="s">
        <v>2179</v>
      </c>
      <c r="H160" s="109" t="s">
        <v>2180</v>
      </c>
      <c r="I160" s="109" t="s">
        <v>2181</v>
      </c>
    </row>
    <row r="161" spans="1:9" ht="204.75" hidden="1" thickBot="1" x14ac:dyDescent="0.3">
      <c r="A161" s="112" t="s">
        <v>979</v>
      </c>
      <c r="B161" s="112" t="s">
        <v>1895</v>
      </c>
      <c r="C161" s="115" t="s">
        <v>884</v>
      </c>
      <c r="D161" s="112">
        <v>2</v>
      </c>
      <c r="E161" s="112" t="s">
        <v>1915</v>
      </c>
      <c r="F161" s="113"/>
      <c r="G161" s="112" t="s">
        <v>2179</v>
      </c>
      <c r="H161" s="112" t="s">
        <v>2182</v>
      </c>
      <c r="I161" s="113" t="s">
        <v>2183</v>
      </c>
    </row>
    <row r="162" spans="1:9" ht="281.25" hidden="1" thickBot="1" x14ac:dyDescent="0.3">
      <c r="A162" s="109" t="s">
        <v>909</v>
      </c>
      <c r="B162" s="109" t="s">
        <v>1895</v>
      </c>
      <c r="C162" s="115" t="s">
        <v>884</v>
      </c>
      <c r="D162" s="109">
        <v>2</v>
      </c>
      <c r="E162" s="109" t="s">
        <v>1915</v>
      </c>
      <c r="F162" s="114"/>
      <c r="G162" s="109" t="s">
        <v>2179</v>
      </c>
      <c r="H162" s="109" t="s">
        <v>2184</v>
      </c>
      <c r="I162" s="109" t="s">
        <v>2185</v>
      </c>
    </row>
    <row r="163" spans="1:9" ht="153.75" hidden="1" thickBot="1" x14ac:dyDescent="0.3">
      <c r="A163" s="112" t="s">
        <v>986</v>
      </c>
      <c r="B163" s="112" t="s">
        <v>1895</v>
      </c>
      <c r="C163" s="115" t="s">
        <v>884</v>
      </c>
      <c r="D163" s="112">
        <v>2</v>
      </c>
      <c r="E163" s="112" t="s">
        <v>1915</v>
      </c>
      <c r="F163" s="113"/>
      <c r="G163" s="112" t="s">
        <v>2179</v>
      </c>
      <c r="H163" s="112" t="s">
        <v>2186</v>
      </c>
      <c r="I163" s="113" t="s">
        <v>2187</v>
      </c>
    </row>
    <row r="164" spans="1:9" ht="51.75" hidden="1" thickBot="1" x14ac:dyDescent="0.3">
      <c r="A164" s="109" t="s">
        <v>894</v>
      </c>
      <c r="B164" s="109" t="s">
        <v>1895</v>
      </c>
      <c r="C164" s="115" t="s">
        <v>884</v>
      </c>
      <c r="D164" s="109">
        <v>2</v>
      </c>
      <c r="E164" s="109"/>
      <c r="F164" s="114"/>
      <c r="G164" s="109" t="s">
        <v>2179</v>
      </c>
      <c r="H164" s="109" t="s">
        <v>2188</v>
      </c>
      <c r="I164" s="109" t="s">
        <v>2189</v>
      </c>
    </row>
    <row r="165" spans="1:9" ht="26.25" hidden="1" thickBot="1" x14ac:dyDescent="0.3">
      <c r="A165" s="112" t="s">
        <v>920</v>
      </c>
      <c r="B165" s="112" t="s">
        <v>1895</v>
      </c>
      <c r="C165" s="115" t="s">
        <v>884</v>
      </c>
      <c r="D165" s="112">
        <v>2</v>
      </c>
      <c r="E165" s="112"/>
      <c r="F165" s="113"/>
      <c r="G165" s="112" t="s">
        <v>2190</v>
      </c>
      <c r="H165" s="112" t="s">
        <v>2191</v>
      </c>
      <c r="I165" s="113" t="s">
        <v>2192</v>
      </c>
    </row>
    <row r="166" spans="1:9" ht="192" hidden="1" thickBot="1" x14ac:dyDescent="0.3">
      <c r="A166" s="109" t="s">
        <v>934</v>
      </c>
      <c r="B166" s="109" t="s">
        <v>1895</v>
      </c>
      <c r="C166" s="115" t="s">
        <v>884</v>
      </c>
      <c r="D166" s="109">
        <v>2</v>
      </c>
      <c r="E166" s="109"/>
      <c r="F166" s="114"/>
      <c r="G166" s="109" t="s">
        <v>2193</v>
      </c>
      <c r="H166" s="109" t="s">
        <v>2194</v>
      </c>
      <c r="I166" s="109" t="s">
        <v>2195</v>
      </c>
    </row>
    <row r="167" spans="1:9" ht="15.75" hidden="1" thickBot="1" x14ac:dyDescent="0.3">
      <c r="A167" s="111" t="s">
        <v>924</v>
      </c>
      <c r="B167" s="116" t="s">
        <v>1895</v>
      </c>
      <c r="C167" s="117" t="s">
        <v>884</v>
      </c>
      <c r="D167" s="112">
        <v>2</v>
      </c>
      <c r="E167" s="112" t="s">
        <v>1915</v>
      </c>
      <c r="F167" s="113" t="s">
        <v>2196</v>
      </c>
      <c r="G167" s="112" t="s">
        <v>2197</v>
      </c>
      <c r="H167" s="112" t="s">
        <v>2198</v>
      </c>
      <c r="I167" s="113"/>
    </row>
    <row r="168" spans="1:9" ht="90" hidden="1" thickBot="1" x14ac:dyDescent="0.3">
      <c r="A168" s="109" t="s">
        <v>1022</v>
      </c>
      <c r="B168" s="109" t="s">
        <v>1895</v>
      </c>
      <c r="C168" s="115" t="s">
        <v>884</v>
      </c>
      <c r="D168" s="109">
        <v>2</v>
      </c>
      <c r="E168" s="109" t="s">
        <v>1915</v>
      </c>
      <c r="F168" s="114"/>
      <c r="G168" s="109" t="s">
        <v>2193</v>
      </c>
      <c r="H168" s="109" t="s">
        <v>2199</v>
      </c>
      <c r="I168" s="109" t="s">
        <v>2200</v>
      </c>
    </row>
    <row r="169" spans="1:9" ht="243" hidden="1" thickBot="1" x14ac:dyDescent="0.3">
      <c r="A169" s="112" t="s">
        <v>891</v>
      </c>
      <c r="B169" s="112" t="s">
        <v>1895</v>
      </c>
      <c r="C169" s="115" t="s">
        <v>884</v>
      </c>
      <c r="D169" s="112">
        <v>2</v>
      </c>
      <c r="E169" s="112" t="s">
        <v>1915</v>
      </c>
      <c r="F169" s="113"/>
      <c r="G169" s="112" t="s">
        <v>2201</v>
      </c>
      <c r="H169" s="112" t="s">
        <v>2202</v>
      </c>
      <c r="I169" s="113" t="s">
        <v>2203</v>
      </c>
    </row>
    <row r="170" spans="1:9" ht="166.5" hidden="1" thickBot="1" x14ac:dyDescent="0.3">
      <c r="A170" s="109" t="s">
        <v>931</v>
      </c>
      <c r="B170" s="109" t="s">
        <v>1895</v>
      </c>
      <c r="C170" s="115" t="s">
        <v>884</v>
      </c>
      <c r="D170" s="109">
        <v>2</v>
      </c>
      <c r="E170" s="109"/>
      <c r="F170" s="114"/>
      <c r="G170" s="109" t="s">
        <v>2201</v>
      </c>
      <c r="H170" s="109" t="s">
        <v>2204</v>
      </c>
      <c r="I170" s="109" t="s">
        <v>2205</v>
      </c>
    </row>
    <row r="171" spans="1:9" ht="39" hidden="1" thickBot="1" x14ac:dyDescent="0.3">
      <c r="A171" s="112" t="s">
        <v>2206</v>
      </c>
      <c r="B171" s="112" t="s">
        <v>1895</v>
      </c>
      <c r="C171" s="115" t="s">
        <v>884</v>
      </c>
      <c r="D171" s="112">
        <v>2</v>
      </c>
      <c r="E171" s="112" t="s">
        <v>1915</v>
      </c>
      <c r="F171" s="113"/>
      <c r="G171" s="112" t="s">
        <v>1950</v>
      </c>
      <c r="H171" s="112"/>
      <c r="I171" s="113" t="s">
        <v>2207</v>
      </c>
    </row>
    <row r="172" spans="1:9" ht="15.75" hidden="1" thickBot="1" x14ac:dyDescent="0.3">
      <c r="A172" s="109" t="s">
        <v>2208</v>
      </c>
      <c r="B172" s="109" t="s">
        <v>1895</v>
      </c>
      <c r="C172" s="115" t="s">
        <v>884</v>
      </c>
      <c r="D172" s="109">
        <v>2</v>
      </c>
      <c r="E172" s="109"/>
      <c r="F172" s="114"/>
      <c r="G172" s="109" t="s">
        <v>2209</v>
      </c>
      <c r="H172" s="109" t="s">
        <v>58</v>
      </c>
      <c r="I172" s="109" t="s">
        <v>2209</v>
      </c>
    </row>
    <row r="173" spans="1:9" ht="15.75" hidden="1" thickBot="1" x14ac:dyDescent="0.3">
      <c r="A173" s="112" t="s">
        <v>2210</v>
      </c>
      <c r="B173" s="112" t="s">
        <v>1895</v>
      </c>
      <c r="C173" s="115" t="s">
        <v>884</v>
      </c>
      <c r="D173" s="112">
        <v>2</v>
      </c>
      <c r="E173" s="112" t="s">
        <v>1915</v>
      </c>
      <c r="F173" s="113"/>
      <c r="G173" s="112" t="s">
        <v>2211</v>
      </c>
      <c r="H173" s="112"/>
      <c r="I173" s="113" t="s">
        <v>1971</v>
      </c>
    </row>
    <row r="174" spans="1:9" ht="204.75" hidden="1" thickBot="1" x14ac:dyDescent="0.3">
      <c r="A174" s="109" t="s">
        <v>1873</v>
      </c>
      <c r="B174" s="109" t="s">
        <v>1895</v>
      </c>
      <c r="C174" s="115" t="s">
        <v>884</v>
      </c>
      <c r="D174" s="109">
        <v>2</v>
      </c>
      <c r="E174" s="109"/>
      <c r="F174" s="114"/>
      <c r="G174" s="109" t="s">
        <v>2212</v>
      </c>
      <c r="H174" s="109" t="s">
        <v>2213</v>
      </c>
      <c r="I174" s="109" t="s">
        <v>2214</v>
      </c>
    </row>
    <row r="175" spans="1:9" ht="51.75" hidden="1" thickBot="1" x14ac:dyDescent="0.3">
      <c r="A175" s="112" t="s">
        <v>1324</v>
      </c>
      <c r="B175" s="112" t="s">
        <v>1895</v>
      </c>
      <c r="C175" s="115" t="s">
        <v>884</v>
      </c>
      <c r="D175" s="112">
        <v>2</v>
      </c>
      <c r="E175" s="112"/>
      <c r="F175" s="113"/>
      <c r="G175" s="112" t="s">
        <v>2212</v>
      </c>
      <c r="H175" s="112" t="s">
        <v>2215</v>
      </c>
      <c r="I175" s="113" t="s">
        <v>2216</v>
      </c>
    </row>
    <row r="176" spans="1:9" ht="115.5" hidden="1" thickBot="1" x14ac:dyDescent="0.3">
      <c r="A176" s="109" t="s">
        <v>907</v>
      </c>
      <c r="B176" s="109" t="s">
        <v>1895</v>
      </c>
      <c r="C176" s="115" t="s">
        <v>884</v>
      </c>
      <c r="D176" s="109">
        <v>2</v>
      </c>
      <c r="E176" s="109"/>
      <c r="F176" s="114"/>
      <c r="G176" s="109" t="s">
        <v>2217</v>
      </c>
      <c r="H176" s="109" t="s">
        <v>2218</v>
      </c>
      <c r="I176" s="109" t="s">
        <v>2219</v>
      </c>
    </row>
    <row r="177" spans="1:9" ht="15.75" hidden="1" thickBot="1" x14ac:dyDescent="0.3">
      <c r="A177" s="111" t="s">
        <v>1226</v>
      </c>
      <c r="B177" s="112" t="s">
        <v>1895</v>
      </c>
      <c r="C177" s="115" t="s">
        <v>884</v>
      </c>
      <c r="D177" s="112">
        <v>2</v>
      </c>
      <c r="E177" s="112"/>
      <c r="F177" s="113"/>
      <c r="G177" s="112" t="s">
        <v>2220</v>
      </c>
      <c r="H177" s="112" t="s">
        <v>58</v>
      </c>
      <c r="I177" s="113"/>
    </row>
    <row r="178" spans="1:9" ht="26.25" hidden="1" thickBot="1" x14ac:dyDescent="0.3">
      <c r="A178" s="109" t="s">
        <v>1260</v>
      </c>
      <c r="B178" s="109" t="s">
        <v>1895</v>
      </c>
      <c r="C178" s="115" t="s">
        <v>884</v>
      </c>
      <c r="D178" s="109">
        <v>2</v>
      </c>
      <c r="E178" s="109"/>
      <c r="F178" s="114"/>
      <c r="G178" s="109" t="s">
        <v>2217</v>
      </c>
      <c r="H178" s="109" t="s">
        <v>2221</v>
      </c>
      <c r="I178" s="109" t="s">
        <v>2222</v>
      </c>
    </row>
    <row r="179" spans="1:9" ht="15.75" hidden="1" thickBot="1" x14ac:dyDescent="0.3">
      <c r="A179" s="112" t="s">
        <v>1189</v>
      </c>
      <c r="B179" s="112" t="s">
        <v>1895</v>
      </c>
      <c r="C179" s="115" t="s">
        <v>884</v>
      </c>
      <c r="D179" s="112">
        <v>2</v>
      </c>
      <c r="E179" s="112"/>
      <c r="F179" s="113"/>
      <c r="G179" s="112" t="s">
        <v>2217</v>
      </c>
      <c r="H179" s="112" t="s">
        <v>2223</v>
      </c>
      <c r="I179" s="113" t="s">
        <v>2224</v>
      </c>
    </row>
    <row r="180" spans="1:9" ht="15.75" hidden="1" thickBot="1" x14ac:dyDescent="0.3">
      <c r="A180" s="111" t="s">
        <v>1520</v>
      </c>
      <c r="B180" s="109" t="s">
        <v>1895</v>
      </c>
      <c r="C180" s="115" t="s">
        <v>884</v>
      </c>
      <c r="D180" s="109">
        <v>2</v>
      </c>
      <c r="E180" s="109"/>
      <c r="F180" s="114"/>
      <c r="G180" s="109" t="s">
        <v>2217</v>
      </c>
      <c r="H180" s="109" t="s">
        <v>2225</v>
      </c>
      <c r="I180" s="109"/>
    </row>
    <row r="181" spans="1:9" ht="77.25" hidden="1" thickBot="1" x14ac:dyDescent="0.3">
      <c r="A181" s="112" t="s">
        <v>2226</v>
      </c>
      <c r="B181" s="112" t="s">
        <v>1895</v>
      </c>
      <c r="C181" s="115" t="s">
        <v>884</v>
      </c>
      <c r="D181" s="112">
        <v>2</v>
      </c>
      <c r="E181" s="112" t="s">
        <v>1915</v>
      </c>
      <c r="F181" s="113"/>
      <c r="G181" s="112" t="s">
        <v>1950</v>
      </c>
      <c r="H181" s="112"/>
      <c r="I181" s="113" t="s">
        <v>2227</v>
      </c>
    </row>
    <row r="182" spans="1:9" ht="15.75" hidden="1" thickBot="1" x14ac:dyDescent="0.3">
      <c r="A182" s="111" t="s">
        <v>955</v>
      </c>
      <c r="B182" s="109" t="s">
        <v>1895</v>
      </c>
      <c r="C182" s="115" t="s">
        <v>884</v>
      </c>
      <c r="D182" s="109">
        <v>2</v>
      </c>
      <c r="E182" s="109"/>
      <c r="F182" s="114"/>
      <c r="G182" s="109" t="s">
        <v>2041</v>
      </c>
      <c r="H182" s="109" t="s">
        <v>58</v>
      </c>
      <c r="I182" s="109"/>
    </row>
    <row r="183" spans="1:9" ht="115.5" hidden="1" thickBot="1" x14ac:dyDescent="0.3">
      <c r="A183" s="112" t="s">
        <v>1014</v>
      </c>
      <c r="B183" s="112" t="s">
        <v>1895</v>
      </c>
      <c r="C183" s="115" t="s">
        <v>884</v>
      </c>
      <c r="D183" s="112">
        <v>2</v>
      </c>
      <c r="E183" s="112"/>
      <c r="F183" s="113"/>
      <c r="G183" s="112" t="s">
        <v>2228</v>
      </c>
      <c r="H183" s="112" t="s">
        <v>2229</v>
      </c>
      <c r="I183" s="113" t="s">
        <v>2230</v>
      </c>
    </row>
    <row r="184" spans="1:9" ht="39" hidden="1" thickBot="1" x14ac:dyDescent="0.3">
      <c r="A184" s="109" t="s">
        <v>2231</v>
      </c>
      <c r="B184" s="109" t="s">
        <v>1895</v>
      </c>
      <c r="C184" s="115" t="s">
        <v>884</v>
      </c>
      <c r="D184" s="109">
        <v>2</v>
      </c>
      <c r="E184" s="109" t="s">
        <v>1915</v>
      </c>
      <c r="F184" s="114"/>
      <c r="G184" s="109" t="s">
        <v>2228</v>
      </c>
      <c r="H184" s="109" t="s">
        <v>2232</v>
      </c>
      <c r="I184" s="109" t="s">
        <v>2233</v>
      </c>
    </row>
    <row r="185" spans="1:9" ht="90" hidden="1" thickBot="1" x14ac:dyDescent="0.3">
      <c r="A185" s="112" t="s">
        <v>957</v>
      </c>
      <c r="B185" s="112" t="s">
        <v>1895</v>
      </c>
      <c r="C185" s="115" t="s">
        <v>884</v>
      </c>
      <c r="D185" s="112">
        <v>2</v>
      </c>
      <c r="E185" s="112"/>
      <c r="F185" s="113"/>
      <c r="G185" s="112" t="s">
        <v>2228</v>
      </c>
      <c r="H185" s="112" t="s">
        <v>2234</v>
      </c>
      <c r="I185" s="113" t="s">
        <v>2235</v>
      </c>
    </row>
    <row r="186" spans="1:9" ht="26.25" hidden="1" thickBot="1" x14ac:dyDescent="0.3">
      <c r="A186" s="109" t="s">
        <v>995</v>
      </c>
      <c r="B186" s="109" t="s">
        <v>1895</v>
      </c>
      <c r="C186" s="115" t="s">
        <v>884</v>
      </c>
      <c r="D186" s="109">
        <v>2</v>
      </c>
      <c r="E186" s="109" t="s">
        <v>1915</v>
      </c>
      <c r="F186" s="114"/>
      <c r="G186" s="109" t="s">
        <v>2228</v>
      </c>
      <c r="H186" s="109" t="s">
        <v>2236</v>
      </c>
      <c r="I186" s="109" t="s">
        <v>2237</v>
      </c>
    </row>
    <row r="187" spans="1:9" ht="153.75" hidden="1" thickBot="1" x14ac:dyDescent="0.3">
      <c r="A187" s="112" t="s">
        <v>2238</v>
      </c>
      <c r="B187" s="112" t="s">
        <v>1895</v>
      </c>
      <c r="C187" s="115" t="s">
        <v>884</v>
      </c>
      <c r="D187" s="112">
        <v>2</v>
      </c>
      <c r="E187" s="112" t="s">
        <v>1915</v>
      </c>
      <c r="F187" s="113" t="s">
        <v>2038</v>
      </c>
      <c r="G187" s="112" t="s">
        <v>1950</v>
      </c>
      <c r="H187" s="112"/>
      <c r="I187" s="113" t="s">
        <v>2239</v>
      </c>
    </row>
    <row r="188" spans="1:9" ht="15.75" hidden="1" thickBot="1" x14ac:dyDescent="0.3">
      <c r="A188" s="111" t="s">
        <v>2240</v>
      </c>
      <c r="B188" s="109" t="s">
        <v>1895</v>
      </c>
      <c r="C188" s="115" t="s">
        <v>884</v>
      </c>
      <c r="D188" s="109">
        <v>2</v>
      </c>
      <c r="E188" s="109"/>
      <c r="F188" s="114"/>
      <c r="G188" s="109" t="s">
        <v>2241</v>
      </c>
      <c r="H188" s="109" t="s">
        <v>2242</v>
      </c>
      <c r="I188" s="109"/>
    </row>
    <row r="189" spans="1:9" ht="90" hidden="1" thickBot="1" x14ac:dyDescent="0.3">
      <c r="A189" s="112" t="s">
        <v>888</v>
      </c>
      <c r="B189" s="112" t="s">
        <v>1895</v>
      </c>
      <c r="C189" s="115" t="s">
        <v>884</v>
      </c>
      <c r="D189" s="112">
        <v>2</v>
      </c>
      <c r="E189" s="112" t="s">
        <v>1915</v>
      </c>
      <c r="F189" s="113"/>
      <c r="G189" s="112" t="s">
        <v>2243</v>
      </c>
      <c r="H189" s="112" t="s">
        <v>2244</v>
      </c>
      <c r="I189" s="113" t="s">
        <v>2245</v>
      </c>
    </row>
    <row r="190" spans="1:9" ht="141" hidden="1" thickBot="1" x14ac:dyDescent="0.3">
      <c r="A190" s="109" t="s">
        <v>1256</v>
      </c>
      <c r="B190" s="109" t="s">
        <v>1895</v>
      </c>
      <c r="C190" s="115" t="s">
        <v>884</v>
      </c>
      <c r="D190" s="109">
        <v>2</v>
      </c>
      <c r="E190" s="109"/>
      <c r="F190" s="114"/>
      <c r="G190" s="109" t="s">
        <v>2243</v>
      </c>
      <c r="H190" s="109" t="s">
        <v>2246</v>
      </c>
      <c r="I190" s="109" t="s">
        <v>2247</v>
      </c>
    </row>
    <row r="191" spans="1:9" ht="26.25" hidden="1" thickBot="1" x14ac:dyDescent="0.3">
      <c r="A191" s="112" t="s">
        <v>1864</v>
      </c>
      <c r="B191" s="112" t="s">
        <v>1895</v>
      </c>
      <c r="C191" s="115" t="s">
        <v>884</v>
      </c>
      <c r="D191" s="112">
        <v>2</v>
      </c>
      <c r="E191" s="112" t="s">
        <v>1915</v>
      </c>
      <c r="F191" s="113"/>
      <c r="G191" s="112" t="s">
        <v>2248</v>
      </c>
      <c r="H191" s="112" t="s">
        <v>2249</v>
      </c>
      <c r="I191" s="113" t="s">
        <v>2250</v>
      </c>
    </row>
    <row r="192" spans="1:9" ht="15.75" hidden="1" thickBot="1" x14ac:dyDescent="0.3">
      <c r="A192" s="109" t="s">
        <v>976</v>
      </c>
      <c r="B192" s="109" t="s">
        <v>1895</v>
      </c>
      <c r="C192" s="115" t="s">
        <v>884</v>
      </c>
      <c r="D192" s="109">
        <v>2</v>
      </c>
      <c r="E192" s="109" t="s">
        <v>1915</v>
      </c>
      <c r="F192" s="114"/>
      <c r="G192" s="109" t="s">
        <v>2248</v>
      </c>
      <c r="H192" s="109" t="s">
        <v>2251</v>
      </c>
      <c r="I192" s="109" t="s">
        <v>2252</v>
      </c>
    </row>
    <row r="193" spans="1:9" ht="64.5" hidden="1" thickBot="1" x14ac:dyDescent="0.3">
      <c r="A193" s="112" t="s">
        <v>917</v>
      </c>
      <c r="B193" s="112" t="s">
        <v>1895</v>
      </c>
      <c r="C193" s="115" t="s">
        <v>884</v>
      </c>
      <c r="D193" s="112">
        <v>2</v>
      </c>
      <c r="E193" s="112"/>
      <c r="F193" s="113"/>
      <c r="G193" s="112" t="s">
        <v>2248</v>
      </c>
      <c r="H193" s="112" t="s">
        <v>2253</v>
      </c>
      <c r="I193" s="113" t="s">
        <v>2254</v>
      </c>
    </row>
    <row r="194" spans="1:9" ht="166.5" hidden="1" thickBot="1" x14ac:dyDescent="0.3">
      <c r="A194" s="109" t="s">
        <v>893</v>
      </c>
      <c r="B194" s="109" t="s">
        <v>1895</v>
      </c>
      <c r="C194" s="115" t="s">
        <v>884</v>
      </c>
      <c r="D194" s="109">
        <v>2</v>
      </c>
      <c r="E194" s="109"/>
      <c r="F194" s="114"/>
      <c r="G194" s="109" t="s">
        <v>2248</v>
      </c>
      <c r="H194" s="109" t="s">
        <v>2255</v>
      </c>
      <c r="I194" s="109" t="s">
        <v>2256</v>
      </c>
    </row>
    <row r="195" spans="1:9" ht="77.25" hidden="1" thickBot="1" x14ac:dyDescent="0.3">
      <c r="A195" s="112" t="s">
        <v>1006</v>
      </c>
      <c r="B195" s="112" t="s">
        <v>1895</v>
      </c>
      <c r="C195" s="115" t="s">
        <v>884</v>
      </c>
      <c r="D195" s="112">
        <v>2</v>
      </c>
      <c r="E195" s="112" t="s">
        <v>1915</v>
      </c>
      <c r="F195" s="113" t="s">
        <v>2033</v>
      </c>
      <c r="G195" s="112" t="s">
        <v>1950</v>
      </c>
      <c r="H195" s="112"/>
      <c r="I195" s="113" t="s">
        <v>2257</v>
      </c>
    </row>
    <row r="196" spans="1:9" ht="179.25" hidden="1" thickBot="1" x14ac:dyDescent="0.3">
      <c r="A196" s="109" t="s">
        <v>952</v>
      </c>
      <c r="B196" s="109" t="s">
        <v>1895</v>
      </c>
      <c r="C196" s="115" t="s">
        <v>884</v>
      </c>
      <c r="D196" s="109">
        <v>2</v>
      </c>
      <c r="E196" s="109" t="s">
        <v>1915</v>
      </c>
      <c r="F196" s="114"/>
      <c r="G196" s="109" t="s">
        <v>2258</v>
      </c>
      <c r="H196" s="109" t="s">
        <v>2259</v>
      </c>
      <c r="I196" s="109" t="s">
        <v>2260</v>
      </c>
    </row>
    <row r="197" spans="1:9" ht="64.5" hidden="1" thickBot="1" x14ac:dyDescent="0.3">
      <c r="A197" s="112" t="s">
        <v>892</v>
      </c>
      <c r="B197" s="112" t="s">
        <v>1895</v>
      </c>
      <c r="C197" s="115" t="s">
        <v>884</v>
      </c>
      <c r="D197" s="112">
        <v>2</v>
      </c>
      <c r="E197" s="112" t="s">
        <v>1915</v>
      </c>
      <c r="F197" s="113"/>
      <c r="G197" s="112" t="s">
        <v>2258</v>
      </c>
      <c r="H197" s="112" t="s">
        <v>2261</v>
      </c>
      <c r="I197" s="113" t="s">
        <v>2262</v>
      </c>
    </row>
    <row r="198" spans="1:9" ht="15.75" hidden="1" thickBot="1" x14ac:dyDescent="0.3">
      <c r="A198" s="111" t="s">
        <v>2263</v>
      </c>
      <c r="B198" s="109" t="s">
        <v>1953</v>
      </c>
      <c r="C198" s="115" t="s">
        <v>884</v>
      </c>
      <c r="D198" s="109">
        <v>2</v>
      </c>
      <c r="E198" s="109"/>
      <c r="F198" s="114"/>
      <c r="G198" s="109" t="s">
        <v>2264</v>
      </c>
      <c r="H198" s="109" t="s">
        <v>58</v>
      </c>
      <c r="I198" s="109"/>
    </row>
    <row r="199" spans="1:9" ht="15.75" hidden="1" thickBot="1" x14ac:dyDescent="0.3">
      <c r="A199" s="111" t="s">
        <v>2265</v>
      </c>
      <c r="B199" s="112" t="s">
        <v>1953</v>
      </c>
      <c r="C199" s="115" t="s">
        <v>884</v>
      </c>
      <c r="D199" s="112">
        <v>2</v>
      </c>
      <c r="E199" s="112"/>
      <c r="F199" s="113"/>
      <c r="G199" s="112"/>
      <c r="H199" s="112"/>
      <c r="I199" s="113"/>
    </row>
    <row r="200" spans="1:9" ht="15.75" hidden="1" thickBot="1" x14ac:dyDescent="0.3">
      <c r="A200" s="111" t="s">
        <v>2266</v>
      </c>
      <c r="B200" s="109" t="s">
        <v>1953</v>
      </c>
      <c r="C200" s="115" t="s">
        <v>884</v>
      </c>
      <c r="D200" s="109">
        <v>2</v>
      </c>
      <c r="E200" s="109"/>
      <c r="F200" s="114"/>
      <c r="G200" s="109"/>
      <c r="H200" s="109"/>
      <c r="I200" s="109"/>
    </row>
    <row r="201" spans="1:9" ht="15.75" hidden="1" thickBot="1" x14ac:dyDescent="0.3">
      <c r="A201" s="111" t="s">
        <v>2267</v>
      </c>
      <c r="B201" s="112" t="s">
        <v>1953</v>
      </c>
      <c r="C201" s="115" t="s">
        <v>884</v>
      </c>
      <c r="D201" s="112">
        <v>2</v>
      </c>
      <c r="E201" s="112"/>
      <c r="F201" s="113"/>
      <c r="G201" s="112"/>
      <c r="H201" s="112"/>
      <c r="I201" s="113"/>
    </row>
    <row r="202" spans="1:9" ht="15.75" hidden="1" thickBot="1" x14ac:dyDescent="0.3">
      <c r="A202" s="111" t="s">
        <v>2268</v>
      </c>
      <c r="B202" s="109" t="s">
        <v>1953</v>
      </c>
      <c r="C202" s="115" t="s">
        <v>884</v>
      </c>
      <c r="D202" s="109">
        <v>2</v>
      </c>
      <c r="E202" s="109"/>
      <c r="F202" s="114"/>
      <c r="G202" s="109"/>
      <c r="H202" s="109"/>
      <c r="I202" s="109"/>
    </row>
    <row r="203" spans="1:9" ht="15.75" hidden="1" thickBot="1" x14ac:dyDescent="0.3">
      <c r="A203" s="111" t="s">
        <v>2269</v>
      </c>
      <c r="B203" s="112" t="s">
        <v>1953</v>
      </c>
      <c r="C203" s="115" t="s">
        <v>884</v>
      </c>
      <c r="D203" s="112">
        <v>2</v>
      </c>
      <c r="E203" s="112"/>
      <c r="F203" s="113"/>
      <c r="G203" s="112"/>
      <c r="H203" s="112"/>
      <c r="I203" s="113"/>
    </row>
    <row r="204" spans="1:9" ht="15.75" hidden="1" thickBot="1" x14ac:dyDescent="0.3">
      <c r="A204" s="111" t="s">
        <v>2270</v>
      </c>
      <c r="B204" s="109" t="s">
        <v>1953</v>
      </c>
      <c r="C204" s="115" t="s">
        <v>884</v>
      </c>
      <c r="D204" s="109">
        <v>2</v>
      </c>
      <c r="E204" s="109"/>
      <c r="F204" s="114"/>
      <c r="G204" s="109"/>
      <c r="H204" s="109"/>
      <c r="I204" s="109"/>
    </row>
    <row r="205" spans="1:9" ht="15.75" hidden="1" thickBot="1" x14ac:dyDescent="0.3">
      <c r="A205" s="111" t="s">
        <v>2271</v>
      </c>
      <c r="B205" s="112" t="s">
        <v>1953</v>
      </c>
      <c r="C205" s="115" t="s">
        <v>884</v>
      </c>
      <c r="D205" s="112">
        <v>2</v>
      </c>
      <c r="E205" s="112"/>
      <c r="F205" s="113"/>
      <c r="G205" s="112"/>
      <c r="H205" s="112"/>
      <c r="I205" s="113"/>
    </row>
    <row r="206" spans="1:9" ht="15.75" hidden="1" thickBot="1" x14ac:dyDescent="0.3">
      <c r="A206" s="111" t="s">
        <v>2272</v>
      </c>
      <c r="B206" s="109" t="s">
        <v>1953</v>
      </c>
      <c r="C206" s="115" t="s">
        <v>884</v>
      </c>
      <c r="D206" s="109">
        <v>2</v>
      </c>
      <c r="E206" s="109"/>
      <c r="F206" s="114"/>
      <c r="G206" s="109"/>
      <c r="H206" s="109"/>
      <c r="I206" s="109"/>
    </row>
    <row r="207" spans="1:9" ht="15.75" hidden="1" thickBot="1" x14ac:dyDescent="0.3">
      <c r="A207" s="111" t="s">
        <v>2273</v>
      </c>
      <c r="B207" s="112" t="s">
        <v>1953</v>
      </c>
      <c r="C207" s="115" t="s">
        <v>884</v>
      </c>
      <c r="D207" s="112">
        <v>2</v>
      </c>
      <c r="E207" s="112"/>
      <c r="F207" s="113"/>
      <c r="G207" s="112"/>
      <c r="H207" s="112"/>
      <c r="I207" s="113"/>
    </row>
    <row r="208" spans="1:9" ht="15.75" hidden="1" thickBot="1" x14ac:dyDescent="0.3">
      <c r="A208" s="109" t="s">
        <v>2274</v>
      </c>
      <c r="B208" s="109" t="s">
        <v>1953</v>
      </c>
      <c r="C208" s="115" t="s">
        <v>884</v>
      </c>
      <c r="D208" s="109">
        <v>2</v>
      </c>
      <c r="E208" s="109"/>
      <c r="F208" s="114"/>
      <c r="G208" s="109"/>
      <c r="H208" s="109"/>
      <c r="I208" s="109" t="s">
        <v>2275</v>
      </c>
    </row>
    <row r="209" spans="1:9" ht="15.75" hidden="1" thickBot="1" x14ac:dyDescent="0.3">
      <c r="A209" s="111" t="s">
        <v>2276</v>
      </c>
      <c r="B209" s="112" t="s">
        <v>1953</v>
      </c>
      <c r="C209" s="115" t="s">
        <v>884</v>
      </c>
      <c r="D209" s="112">
        <v>2</v>
      </c>
      <c r="E209" s="112"/>
      <c r="F209" s="113"/>
      <c r="G209" s="112"/>
      <c r="H209" s="112"/>
      <c r="I209" s="113"/>
    </row>
    <row r="210" spans="1:9" ht="15.75" hidden="1" thickBot="1" x14ac:dyDescent="0.3">
      <c r="A210" s="111" t="s">
        <v>2277</v>
      </c>
      <c r="B210" s="109" t="s">
        <v>1953</v>
      </c>
      <c r="C210" s="115" t="s">
        <v>884</v>
      </c>
      <c r="D210" s="109">
        <v>2</v>
      </c>
      <c r="E210" s="109"/>
      <c r="F210" s="114"/>
      <c r="G210" s="109"/>
      <c r="H210" s="109"/>
      <c r="I210" s="109"/>
    </row>
    <row r="211" spans="1:9" ht="15.75" hidden="1" thickBot="1" x14ac:dyDescent="0.3">
      <c r="A211" s="111" t="s">
        <v>2278</v>
      </c>
      <c r="B211" s="112" t="s">
        <v>1953</v>
      </c>
      <c r="C211" s="115" t="s">
        <v>884</v>
      </c>
      <c r="D211" s="112">
        <v>2</v>
      </c>
      <c r="E211" s="112"/>
      <c r="F211" s="113"/>
      <c r="G211" s="112"/>
      <c r="H211" s="112"/>
      <c r="I211" s="113"/>
    </row>
    <row r="212" spans="1:9" ht="15.75" hidden="1" thickBot="1" x14ac:dyDescent="0.3">
      <c r="A212" s="111" t="s">
        <v>2279</v>
      </c>
      <c r="B212" s="109" t="s">
        <v>1953</v>
      </c>
      <c r="C212" s="115" t="s">
        <v>884</v>
      </c>
      <c r="D212" s="109">
        <v>2</v>
      </c>
      <c r="E212" s="109"/>
      <c r="F212" s="114"/>
      <c r="G212" s="109"/>
      <c r="H212" s="109"/>
      <c r="I212" s="109"/>
    </row>
    <row r="213" spans="1:9" ht="15.75" hidden="1" thickBot="1" x14ac:dyDescent="0.3">
      <c r="A213" s="112" t="s">
        <v>2280</v>
      </c>
      <c r="B213" s="112" t="s">
        <v>1953</v>
      </c>
      <c r="C213" s="115" t="s">
        <v>884</v>
      </c>
      <c r="D213" s="112">
        <v>2</v>
      </c>
      <c r="E213" s="112"/>
      <c r="F213" s="113"/>
      <c r="G213" s="112"/>
      <c r="H213" s="112"/>
      <c r="I213" s="113" t="s">
        <v>2275</v>
      </c>
    </row>
    <row r="214" spans="1:9" ht="15.75" hidden="1" thickBot="1" x14ac:dyDescent="0.3">
      <c r="A214" s="111" t="s">
        <v>2281</v>
      </c>
      <c r="B214" s="109" t="s">
        <v>1953</v>
      </c>
      <c r="C214" s="115" t="s">
        <v>884</v>
      </c>
      <c r="D214" s="109">
        <v>2</v>
      </c>
      <c r="E214" s="109"/>
      <c r="F214" s="114"/>
      <c r="G214" s="109"/>
      <c r="H214" s="109"/>
      <c r="I214" s="109"/>
    </row>
    <row r="215" spans="1:9" ht="15.75" hidden="1" thickBot="1" x14ac:dyDescent="0.3">
      <c r="A215" s="111" t="s">
        <v>2282</v>
      </c>
      <c r="B215" s="112" t="s">
        <v>1953</v>
      </c>
      <c r="C215" s="115" t="s">
        <v>884</v>
      </c>
      <c r="D215" s="112">
        <v>2</v>
      </c>
      <c r="E215" s="112"/>
      <c r="F215" s="113"/>
      <c r="G215" s="112"/>
      <c r="H215" s="112"/>
      <c r="I215" s="113"/>
    </row>
    <row r="216" spans="1:9" ht="15.75" hidden="1" thickBot="1" x14ac:dyDescent="0.3">
      <c r="A216" s="111" t="s">
        <v>2283</v>
      </c>
      <c r="B216" s="109" t="s">
        <v>1953</v>
      </c>
      <c r="C216" s="115" t="s">
        <v>884</v>
      </c>
      <c r="D216" s="109">
        <v>2</v>
      </c>
      <c r="E216" s="109"/>
      <c r="F216" s="114"/>
      <c r="G216" s="109"/>
      <c r="H216" s="109"/>
      <c r="I216" s="109"/>
    </row>
    <row r="217" spans="1:9" ht="15.75" hidden="1" thickBot="1" x14ac:dyDescent="0.3">
      <c r="A217" s="111" t="s">
        <v>2284</v>
      </c>
      <c r="B217" s="112" t="s">
        <v>1953</v>
      </c>
      <c r="C217" s="115" t="s">
        <v>884</v>
      </c>
      <c r="D217" s="112">
        <v>2</v>
      </c>
      <c r="E217" s="112"/>
      <c r="F217" s="113"/>
      <c r="G217" s="112"/>
      <c r="H217" s="112"/>
      <c r="I217" s="113"/>
    </row>
    <row r="218" spans="1:9" ht="15.75" hidden="1" thickBot="1" x14ac:dyDescent="0.3">
      <c r="A218" s="111" t="s">
        <v>2285</v>
      </c>
      <c r="B218" s="109" t="s">
        <v>1953</v>
      </c>
      <c r="C218" s="115" t="s">
        <v>884</v>
      </c>
      <c r="D218" s="109">
        <v>2</v>
      </c>
      <c r="E218" s="109"/>
      <c r="F218" s="114"/>
      <c r="G218" s="109"/>
      <c r="H218" s="109"/>
      <c r="I218" s="109"/>
    </row>
    <row r="219" spans="1:9" ht="15.75" hidden="1" thickBot="1" x14ac:dyDescent="0.3">
      <c r="A219" s="111" t="s">
        <v>2286</v>
      </c>
      <c r="B219" s="112" t="s">
        <v>1953</v>
      </c>
      <c r="C219" s="115" t="s">
        <v>884</v>
      </c>
      <c r="D219" s="112">
        <v>2</v>
      </c>
      <c r="E219" s="112"/>
      <c r="F219" s="113"/>
      <c r="G219" s="112"/>
      <c r="H219" s="112"/>
      <c r="I219" s="113"/>
    </row>
    <row r="220" spans="1:9" ht="15.75" hidden="1" thickBot="1" x14ac:dyDescent="0.3">
      <c r="A220" s="111" t="s">
        <v>2287</v>
      </c>
      <c r="B220" s="109" t="s">
        <v>1953</v>
      </c>
      <c r="C220" s="115" t="s">
        <v>884</v>
      </c>
      <c r="D220" s="109">
        <v>2</v>
      </c>
      <c r="E220" s="109"/>
      <c r="F220" s="114"/>
      <c r="G220" s="109"/>
      <c r="H220" s="109"/>
      <c r="I220" s="109"/>
    </row>
    <row r="221" spans="1:9" ht="15.75" hidden="1" thickBot="1" x14ac:dyDescent="0.3">
      <c r="A221" s="111" t="s">
        <v>2288</v>
      </c>
      <c r="B221" s="112" t="s">
        <v>1953</v>
      </c>
      <c r="C221" s="115" t="s">
        <v>884</v>
      </c>
      <c r="D221" s="112">
        <v>2</v>
      </c>
      <c r="E221" s="112"/>
      <c r="F221" s="113"/>
      <c r="G221" s="112"/>
      <c r="H221" s="112"/>
      <c r="I221" s="113"/>
    </row>
    <row r="222" spans="1:9" ht="15.75" hidden="1" thickBot="1" x14ac:dyDescent="0.3">
      <c r="A222" s="111" t="s">
        <v>2289</v>
      </c>
      <c r="B222" s="109" t="s">
        <v>1953</v>
      </c>
      <c r="C222" s="115" t="s">
        <v>884</v>
      </c>
      <c r="D222" s="109">
        <v>2</v>
      </c>
      <c r="E222" s="109"/>
      <c r="F222" s="114"/>
      <c r="G222" s="109"/>
      <c r="H222" s="109"/>
      <c r="I222" s="109"/>
    </row>
    <row r="223" spans="1:9" ht="15.75" hidden="1" thickBot="1" x14ac:dyDescent="0.3">
      <c r="A223" s="111" t="s">
        <v>2290</v>
      </c>
      <c r="B223" s="112" t="s">
        <v>1953</v>
      </c>
      <c r="C223" s="115" t="s">
        <v>884</v>
      </c>
      <c r="D223" s="112">
        <v>2</v>
      </c>
      <c r="E223" s="112"/>
      <c r="F223" s="113"/>
      <c r="G223" s="112"/>
      <c r="H223" s="112"/>
      <c r="I223" s="113"/>
    </row>
    <row r="224" spans="1:9" ht="15.75" hidden="1" thickBot="1" x14ac:dyDescent="0.3">
      <c r="A224" s="111" t="s">
        <v>2291</v>
      </c>
      <c r="B224" s="109" t="s">
        <v>1953</v>
      </c>
      <c r="C224" s="115" t="s">
        <v>884</v>
      </c>
      <c r="D224" s="109">
        <v>2</v>
      </c>
      <c r="E224" s="109"/>
      <c r="F224" s="114"/>
      <c r="G224" s="109"/>
      <c r="H224" s="109"/>
      <c r="I224" s="109"/>
    </row>
    <row r="225" spans="1:9" ht="15.75" hidden="1" thickBot="1" x14ac:dyDescent="0.3">
      <c r="A225" s="111" t="s">
        <v>2292</v>
      </c>
      <c r="B225" s="112" t="s">
        <v>1953</v>
      </c>
      <c r="C225" s="115" t="s">
        <v>884</v>
      </c>
      <c r="D225" s="112">
        <v>2</v>
      </c>
      <c r="E225" s="112"/>
      <c r="F225" s="113"/>
      <c r="G225" s="112"/>
      <c r="H225" s="112"/>
      <c r="I225" s="113"/>
    </row>
    <row r="226" spans="1:9" ht="15.75" hidden="1" thickBot="1" x14ac:dyDescent="0.3">
      <c r="A226" s="111" t="s">
        <v>2293</v>
      </c>
      <c r="B226" s="109" t="s">
        <v>1953</v>
      </c>
      <c r="C226" s="115" t="s">
        <v>884</v>
      </c>
      <c r="D226" s="109">
        <v>2</v>
      </c>
      <c r="E226" s="109"/>
      <c r="F226" s="114"/>
      <c r="G226" s="109"/>
      <c r="H226" s="109"/>
      <c r="I226" s="109"/>
    </row>
    <row r="227" spans="1:9" ht="15.75" hidden="1" thickBot="1" x14ac:dyDescent="0.3">
      <c r="A227" s="111" t="s">
        <v>2294</v>
      </c>
      <c r="B227" s="112" t="s">
        <v>1953</v>
      </c>
      <c r="C227" s="115" t="s">
        <v>884</v>
      </c>
      <c r="D227" s="112">
        <v>2</v>
      </c>
      <c r="E227" s="112"/>
      <c r="F227" s="113"/>
      <c r="G227" s="112"/>
      <c r="H227" s="112"/>
      <c r="I227" s="113"/>
    </row>
    <row r="228" spans="1:9" ht="15.75" hidden="1" thickBot="1" x14ac:dyDescent="0.3">
      <c r="A228" s="111" t="s">
        <v>2295</v>
      </c>
      <c r="B228" s="109" t="s">
        <v>1953</v>
      </c>
      <c r="C228" s="115" t="s">
        <v>884</v>
      </c>
      <c r="D228" s="109">
        <v>2</v>
      </c>
      <c r="E228" s="109"/>
      <c r="F228" s="114"/>
      <c r="G228" s="109"/>
      <c r="H228" s="109"/>
      <c r="I228" s="109"/>
    </row>
    <row r="229" spans="1:9" ht="15.75" hidden="1" thickBot="1" x14ac:dyDescent="0.3">
      <c r="A229" s="111" t="s">
        <v>2296</v>
      </c>
      <c r="B229" s="112" t="s">
        <v>1953</v>
      </c>
      <c r="C229" s="115" t="s">
        <v>884</v>
      </c>
      <c r="D229" s="112">
        <v>2</v>
      </c>
      <c r="E229" s="112"/>
      <c r="F229" s="113"/>
      <c r="G229" s="112"/>
      <c r="H229" s="112"/>
      <c r="I229" s="113"/>
    </row>
    <row r="230" spans="1:9" ht="15.75" hidden="1" thickBot="1" x14ac:dyDescent="0.3">
      <c r="A230" s="111" t="s">
        <v>2297</v>
      </c>
      <c r="B230" s="109" t="s">
        <v>1953</v>
      </c>
      <c r="C230" s="115" t="s">
        <v>884</v>
      </c>
      <c r="D230" s="109">
        <v>2</v>
      </c>
      <c r="E230" s="109"/>
      <c r="F230" s="114"/>
      <c r="G230" s="109"/>
      <c r="H230" s="109"/>
      <c r="I230" s="109"/>
    </row>
    <row r="231" spans="1:9" ht="15.75" hidden="1" thickBot="1" x14ac:dyDescent="0.3">
      <c r="A231" s="111" t="s">
        <v>2298</v>
      </c>
      <c r="B231" s="112" t="s">
        <v>1953</v>
      </c>
      <c r="C231" s="115" t="s">
        <v>884</v>
      </c>
      <c r="D231" s="112">
        <v>2</v>
      </c>
      <c r="E231" s="112"/>
      <c r="F231" s="113"/>
      <c r="G231" s="112"/>
      <c r="H231" s="112"/>
      <c r="I231" s="113"/>
    </row>
    <row r="232" spans="1:9" ht="15.75" hidden="1" thickBot="1" x14ac:dyDescent="0.3">
      <c r="A232" s="111" t="s">
        <v>2299</v>
      </c>
      <c r="B232" s="109" t="s">
        <v>1953</v>
      </c>
      <c r="C232" s="115" t="s">
        <v>884</v>
      </c>
      <c r="D232" s="109">
        <v>2</v>
      </c>
      <c r="E232" s="109"/>
      <c r="F232" s="114"/>
      <c r="G232" s="109"/>
      <c r="H232" s="109"/>
      <c r="I232" s="109"/>
    </row>
    <row r="233" spans="1:9" ht="15.75" hidden="1" thickBot="1" x14ac:dyDescent="0.3">
      <c r="A233" s="111" t="s">
        <v>2300</v>
      </c>
      <c r="B233" s="112" t="s">
        <v>1953</v>
      </c>
      <c r="C233" s="115" t="s">
        <v>884</v>
      </c>
      <c r="D233" s="112">
        <v>2</v>
      </c>
      <c r="E233" s="112"/>
      <c r="F233" s="113"/>
      <c r="G233" s="112"/>
      <c r="H233" s="112"/>
      <c r="I233" s="113"/>
    </row>
    <row r="234" spans="1:9" ht="15.75" hidden="1" thickBot="1" x14ac:dyDescent="0.3">
      <c r="A234" s="111" t="s">
        <v>2301</v>
      </c>
      <c r="B234" s="109" t="s">
        <v>1953</v>
      </c>
      <c r="C234" s="115" t="s">
        <v>884</v>
      </c>
      <c r="D234" s="109">
        <v>2</v>
      </c>
      <c r="E234" s="109"/>
      <c r="F234" s="114"/>
      <c r="G234" s="109"/>
      <c r="H234" s="109"/>
      <c r="I234" s="109"/>
    </row>
    <row r="235" spans="1:9" ht="15.75" hidden="1" thickBot="1" x14ac:dyDescent="0.3">
      <c r="A235" s="112" t="s">
        <v>2302</v>
      </c>
      <c r="B235" s="112" t="s">
        <v>1953</v>
      </c>
      <c r="C235" s="115" t="s">
        <v>884</v>
      </c>
      <c r="D235" s="112">
        <v>2</v>
      </c>
      <c r="E235" s="112"/>
      <c r="F235" s="113"/>
      <c r="G235" s="112"/>
      <c r="H235" s="112"/>
      <c r="I235" s="113" t="s">
        <v>2303</v>
      </c>
    </row>
    <row r="236" spans="1:9" ht="15.75" hidden="1" thickBot="1" x14ac:dyDescent="0.3">
      <c r="A236" s="111" t="s">
        <v>2304</v>
      </c>
      <c r="B236" s="109" t="s">
        <v>1953</v>
      </c>
      <c r="C236" s="115" t="s">
        <v>884</v>
      </c>
      <c r="D236" s="109">
        <v>2</v>
      </c>
      <c r="E236" s="109"/>
      <c r="F236" s="114"/>
      <c r="G236" s="109"/>
      <c r="H236" s="109"/>
      <c r="I236" s="109"/>
    </row>
    <row r="237" spans="1:9" ht="15.75" hidden="1" thickBot="1" x14ac:dyDescent="0.3">
      <c r="A237" s="111" t="s">
        <v>2305</v>
      </c>
      <c r="B237" s="112" t="s">
        <v>1953</v>
      </c>
      <c r="C237" s="115" t="s">
        <v>884</v>
      </c>
      <c r="D237" s="112">
        <v>2</v>
      </c>
      <c r="E237" s="112"/>
      <c r="F237" s="113"/>
      <c r="G237" s="112"/>
      <c r="H237" s="112"/>
      <c r="I237" s="113"/>
    </row>
    <row r="238" spans="1:9" ht="115.5" hidden="1" thickBot="1" x14ac:dyDescent="0.3">
      <c r="A238" s="109" t="s">
        <v>1874</v>
      </c>
      <c r="B238" s="109" t="s">
        <v>1895</v>
      </c>
      <c r="C238" s="115" t="s">
        <v>884</v>
      </c>
      <c r="D238" s="109">
        <v>2</v>
      </c>
      <c r="E238" s="109"/>
      <c r="F238" s="114"/>
      <c r="G238" s="109" t="s">
        <v>2258</v>
      </c>
      <c r="H238" s="109" t="s">
        <v>2306</v>
      </c>
      <c r="I238" s="109" t="s">
        <v>2307</v>
      </c>
    </row>
    <row r="239" spans="1:9" ht="153.75" hidden="1" thickBot="1" x14ac:dyDescent="0.3">
      <c r="A239" s="112" t="s">
        <v>795</v>
      </c>
      <c r="B239" s="112" t="s">
        <v>1895</v>
      </c>
      <c r="C239" s="115" t="s">
        <v>884</v>
      </c>
      <c r="D239" s="112">
        <v>2</v>
      </c>
      <c r="E239" s="112" t="s">
        <v>1915</v>
      </c>
      <c r="F239" s="113"/>
      <c r="G239" s="112" t="s">
        <v>2308</v>
      </c>
      <c r="H239" s="112" t="s">
        <v>2309</v>
      </c>
      <c r="I239" s="113" t="s">
        <v>2310</v>
      </c>
    </row>
    <row r="240" spans="1:9" ht="26.25" hidden="1" thickBot="1" x14ac:dyDescent="0.3">
      <c r="A240" s="109" t="s">
        <v>2311</v>
      </c>
      <c r="B240" s="109" t="s">
        <v>1895</v>
      </c>
      <c r="C240" s="115" t="s">
        <v>884</v>
      </c>
      <c r="D240" s="109">
        <v>2</v>
      </c>
      <c r="E240" s="109" t="s">
        <v>1915</v>
      </c>
      <c r="F240" s="114"/>
      <c r="G240" s="109" t="s">
        <v>2211</v>
      </c>
      <c r="H240" s="109"/>
      <c r="I240" s="109" t="s">
        <v>2312</v>
      </c>
    </row>
    <row r="241" spans="1:9" ht="217.5" hidden="1" thickBot="1" x14ac:dyDescent="0.3">
      <c r="A241" s="112" t="s">
        <v>960</v>
      </c>
      <c r="B241" s="112" t="s">
        <v>2048</v>
      </c>
      <c r="C241" s="115" t="s">
        <v>884</v>
      </c>
      <c r="D241" s="112">
        <v>2</v>
      </c>
      <c r="E241" s="112"/>
      <c r="F241" s="113"/>
      <c r="G241" s="112" t="s">
        <v>2313</v>
      </c>
      <c r="H241" s="112" t="s">
        <v>2314</v>
      </c>
      <c r="I241" s="113" t="s">
        <v>2315</v>
      </c>
    </row>
    <row r="242" spans="1:9" ht="26.25" hidden="1" thickBot="1" x14ac:dyDescent="0.3">
      <c r="A242" s="109" t="s">
        <v>901</v>
      </c>
      <c r="B242" s="109" t="s">
        <v>1895</v>
      </c>
      <c r="C242" s="115" t="s">
        <v>884</v>
      </c>
      <c r="D242" s="109">
        <v>2</v>
      </c>
      <c r="E242" s="109"/>
      <c r="F242" s="109"/>
      <c r="G242" s="109" t="s">
        <v>2316</v>
      </c>
      <c r="H242" s="109" t="s">
        <v>58</v>
      </c>
      <c r="I242" s="109" t="s">
        <v>2317</v>
      </c>
    </row>
    <row r="243" spans="1:9" ht="319.5" hidden="1" thickBot="1" x14ac:dyDescent="0.3">
      <c r="A243" s="112" t="s">
        <v>2318</v>
      </c>
      <c r="B243" s="112" t="s">
        <v>1895</v>
      </c>
      <c r="C243" s="115" t="s">
        <v>884</v>
      </c>
      <c r="D243" s="112">
        <v>2</v>
      </c>
      <c r="E243" s="112" t="s">
        <v>1915</v>
      </c>
      <c r="F243" s="113" t="s">
        <v>2046</v>
      </c>
      <c r="G243" s="112" t="s">
        <v>2319</v>
      </c>
      <c r="H243" s="112" t="s">
        <v>2320</v>
      </c>
      <c r="I243" s="113" t="s">
        <v>2321</v>
      </c>
    </row>
    <row r="244" spans="1:9" ht="26.25" hidden="1" thickBot="1" x14ac:dyDescent="0.3">
      <c r="A244" s="109" t="s">
        <v>2322</v>
      </c>
      <c r="B244" s="109" t="s">
        <v>1895</v>
      </c>
      <c r="C244" s="115" t="s">
        <v>884</v>
      </c>
      <c r="D244" s="109">
        <v>2</v>
      </c>
      <c r="E244" s="109" t="s">
        <v>1915</v>
      </c>
      <c r="F244" s="109" t="s">
        <v>2046</v>
      </c>
      <c r="G244" s="109" t="s">
        <v>2319</v>
      </c>
      <c r="H244" s="109" t="s">
        <v>2323</v>
      </c>
      <c r="I244" s="109" t="s">
        <v>2324</v>
      </c>
    </row>
    <row r="245" spans="1:9" ht="39" hidden="1" thickBot="1" x14ac:dyDescent="0.3">
      <c r="A245" s="112" t="s">
        <v>2325</v>
      </c>
      <c r="B245" s="112" t="s">
        <v>1895</v>
      </c>
      <c r="C245" s="115" t="s">
        <v>884</v>
      </c>
      <c r="D245" s="112">
        <v>2</v>
      </c>
      <c r="E245" s="112" t="s">
        <v>1915</v>
      </c>
      <c r="F245" s="113" t="s">
        <v>2046</v>
      </c>
      <c r="G245" s="112" t="s">
        <v>2319</v>
      </c>
      <c r="H245" s="112" t="s">
        <v>2326</v>
      </c>
      <c r="I245" s="113" t="s">
        <v>2327</v>
      </c>
    </row>
    <row r="246" spans="1:9" ht="153.75" hidden="1" thickBot="1" x14ac:dyDescent="0.3">
      <c r="A246" s="109" t="s">
        <v>977</v>
      </c>
      <c r="B246" s="109" t="s">
        <v>1953</v>
      </c>
      <c r="C246" s="115" t="s">
        <v>884</v>
      </c>
      <c r="D246" s="109">
        <v>2</v>
      </c>
      <c r="E246" s="109"/>
      <c r="F246" s="109" t="s">
        <v>2328</v>
      </c>
      <c r="G246" s="109" t="s">
        <v>2329</v>
      </c>
      <c r="H246" s="109" t="s">
        <v>2330</v>
      </c>
      <c r="I246" s="109" t="s">
        <v>2331</v>
      </c>
    </row>
    <row r="247" spans="1:9" ht="39" hidden="1" thickBot="1" x14ac:dyDescent="0.3">
      <c r="A247" s="112" t="s">
        <v>1244</v>
      </c>
      <c r="B247" s="112" t="s">
        <v>1895</v>
      </c>
      <c r="C247" s="115" t="s">
        <v>884</v>
      </c>
      <c r="D247" s="112">
        <v>2</v>
      </c>
      <c r="E247" s="112"/>
      <c r="F247" s="113"/>
      <c r="G247" s="112" t="s">
        <v>2332</v>
      </c>
      <c r="H247" s="112" t="s">
        <v>2333</v>
      </c>
      <c r="I247" s="113" t="s">
        <v>2334</v>
      </c>
    </row>
    <row r="248" spans="1:9" ht="204.75" hidden="1" thickBot="1" x14ac:dyDescent="0.3">
      <c r="A248" s="109" t="s">
        <v>973</v>
      </c>
      <c r="B248" s="109" t="s">
        <v>1895</v>
      </c>
      <c r="C248" s="115" t="s">
        <v>884</v>
      </c>
      <c r="D248" s="109">
        <v>2</v>
      </c>
      <c r="E248" s="109"/>
      <c r="F248" s="114"/>
      <c r="G248" s="109" t="s">
        <v>2332</v>
      </c>
      <c r="H248" s="109" t="s">
        <v>2335</v>
      </c>
      <c r="I248" s="109" t="s">
        <v>2336</v>
      </c>
    </row>
    <row r="249" spans="1:9" ht="77.25" hidden="1" thickBot="1" x14ac:dyDescent="0.3">
      <c r="A249" s="112" t="s">
        <v>1875</v>
      </c>
      <c r="B249" s="112" t="s">
        <v>1890</v>
      </c>
      <c r="C249" s="115" t="s">
        <v>884</v>
      </c>
      <c r="D249" s="112">
        <v>2</v>
      </c>
      <c r="E249" s="112"/>
      <c r="F249" s="113"/>
      <c r="G249" s="112" t="s">
        <v>2337</v>
      </c>
      <c r="H249" s="112" t="s">
        <v>2338</v>
      </c>
      <c r="I249" s="113" t="s">
        <v>2339</v>
      </c>
    </row>
    <row r="250" spans="1:9" ht="26.25" hidden="1" thickBot="1" x14ac:dyDescent="0.3">
      <c r="A250" s="109" t="s">
        <v>2340</v>
      </c>
      <c r="B250" s="109" t="s">
        <v>1890</v>
      </c>
      <c r="C250" s="115" t="s">
        <v>884</v>
      </c>
      <c r="D250" s="109">
        <v>2</v>
      </c>
      <c r="E250" s="109"/>
      <c r="F250" s="114"/>
      <c r="G250" s="109"/>
      <c r="H250" s="109"/>
      <c r="I250" s="109" t="s">
        <v>2341</v>
      </c>
    </row>
    <row r="251" spans="1:9" ht="15.75" hidden="1" thickBot="1" x14ac:dyDescent="0.3">
      <c r="A251" s="111" t="s">
        <v>2342</v>
      </c>
      <c r="B251" s="112" t="s">
        <v>1890</v>
      </c>
      <c r="C251" s="115" t="s">
        <v>884</v>
      </c>
      <c r="D251" s="112">
        <v>2</v>
      </c>
      <c r="E251" s="112"/>
      <c r="F251" s="113"/>
      <c r="G251" s="112"/>
      <c r="H251" s="112"/>
      <c r="I251" s="113"/>
    </row>
    <row r="252" spans="1:9" ht="15.75" hidden="1" thickBot="1" x14ac:dyDescent="0.3">
      <c r="A252" s="111" t="s">
        <v>2343</v>
      </c>
      <c r="B252" s="109" t="s">
        <v>1890</v>
      </c>
      <c r="C252" s="115" t="s">
        <v>884</v>
      </c>
      <c r="D252" s="109">
        <v>2</v>
      </c>
      <c r="E252" s="109"/>
      <c r="F252" s="114"/>
      <c r="G252" s="109"/>
      <c r="H252" s="109"/>
      <c r="I252" s="109"/>
    </row>
    <row r="253" spans="1:9" ht="15.75" hidden="1" thickBot="1" x14ac:dyDescent="0.3">
      <c r="A253" s="111" t="s">
        <v>2344</v>
      </c>
      <c r="B253" s="112" t="s">
        <v>1890</v>
      </c>
      <c r="C253" s="115" t="s">
        <v>884</v>
      </c>
      <c r="D253" s="112">
        <v>2</v>
      </c>
      <c r="E253" s="112"/>
      <c r="F253" s="113"/>
      <c r="G253" s="112"/>
      <c r="H253" s="112"/>
      <c r="I253" s="113"/>
    </row>
    <row r="254" spans="1:9" ht="15.75" hidden="1" thickBot="1" x14ac:dyDescent="0.3">
      <c r="A254" s="111" t="s">
        <v>2345</v>
      </c>
      <c r="B254" s="109" t="s">
        <v>1890</v>
      </c>
      <c r="C254" s="115" t="s">
        <v>884</v>
      </c>
      <c r="D254" s="109">
        <v>2</v>
      </c>
      <c r="E254" s="109"/>
      <c r="F254" s="114"/>
      <c r="G254" s="109"/>
      <c r="H254" s="109"/>
      <c r="I254" s="109"/>
    </row>
    <row r="255" spans="1:9" ht="15.75" hidden="1" thickBot="1" x14ac:dyDescent="0.3">
      <c r="A255" s="111" t="s">
        <v>2346</v>
      </c>
      <c r="B255" s="112" t="s">
        <v>1890</v>
      </c>
      <c r="C255" s="115" t="s">
        <v>884</v>
      </c>
      <c r="D255" s="112">
        <v>2</v>
      </c>
      <c r="E255" s="112"/>
      <c r="F255" s="113"/>
      <c r="G255" s="112"/>
      <c r="H255" s="112"/>
      <c r="I255" s="113"/>
    </row>
    <row r="256" spans="1:9" ht="15.75" hidden="1" thickBot="1" x14ac:dyDescent="0.3">
      <c r="A256" s="111" t="s">
        <v>2347</v>
      </c>
      <c r="B256" s="109" t="s">
        <v>1890</v>
      </c>
      <c r="C256" s="115" t="s">
        <v>884</v>
      </c>
      <c r="D256" s="109">
        <v>2</v>
      </c>
      <c r="E256" s="109"/>
      <c r="F256" s="114"/>
      <c r="G256" s="109"/>
      <c r="H256" s="109"/>
      <c r="I256" s="109"/>
    </row>
    <row r="257" spans="1:9" ht="15.75" hidden="1" thickBot="1" x14ac:dyDescent="0.3">
      <c r="A257" s="111" t="s">
        <v>2348</v>
      </c>
      <c r="B257" s="112" t="s">
        <v>1890</v>
      </c>
      <c r="C257" s="115" t="s">
        <v>884</v>
      </c>
      <c r="D257" s="112">
        <v>2</v>
      </c>
      <c r="E257" s="112"/>
      <c r="F257" s="113"/>
      <c r="G257" s="112"/>
      <c r="H257" s="112"/>
      <c r="I257" s="113"/>
    </row>
    <row r="258" spans="1:9" ht="15.75" hidden="1" thickBot="1" x14ac:dyDescent="0.3">
      <c r="A258" s="111" t="s">
        <v>2349</v>
      </c>
      <c r="B258" s="109" t="s">
        <v>1890</v>
      </c>
      <c r="C258" s="115" t="s">
        <v>884</v>
      </c>
      <c r="D258" s="109">
        <v>2</v>
      </c>
      <c r="E258" s="109"/>
      <c r="F258" s="114"/>
      <c r="G258" s="109"/>
      <c r="H258" s="109"/>
      <c r="I258" s="109"/>
    </row>
    <row r="259" spans="1:9" ht="26.25" hidden="1" thickBot="1" x14ac:dyDescent="0.3">
      <c r="A259" s="112" t="s">
        <v>2350</v>
      </c>
      <c r="B259" s="112" t="s">
        <v>1890</v>
      </c>
      <c r="C259" s="115" t="s">
        <v>884</v>
      </c>
      <c r="D259" s="112">
        <v>2</v>
      </c>
      <c r="E259" s="112"/>
      <c r="F259" s="113"/>
      <c r="G259" s="112"/>
      <c r="H259" s="112"/>
      <c r="I259" s="113" t="s">
        <v>2351</v>
      </c>
    </row>
    <row r="260" spans="1:9" ht="15.75" hidden="1" thickBot="1" x14ac:dyDescent="0.3">
      <c r="A260" s="111" t="s">
        <v>2352</v>
      </c>
      <c r="B260" s="109" t="s">
        <v>1890</v>
      </c>
      <c r="C260" s="115" t="s">
        <v>884</v>
      </c>
      <c r="D260" s="109">
        <v>2</v>
      </c>
      <c r="E260" s="109"/>
      <c r="F260" s="114"/>
      <c r="G260" s="109"/>
      <c r="H260" s="109"/>
      <c r="I260" s="109"/>
    </row>
    <row r="261" spans="1:9" ht="15.75" hidden="1" thickBot="1" x14ac:dyDescent="0.3">
      <c r="A261" s="112" t="s">
        <v>2353</v>
      </c>
      <c r="B261" s="112" t="s">
        <v>1890</v>
      </c>
      <c r="C261" s="115" t="s">
        <v>884</v>
      </c>
      <c r="D261" s="112">
        <v>2</v>
      </c>
      <c r="E261" s="112"/>
      <c r="F261" s="113"/>
      <c r="G261" s="112"/>
      <c r="H261" s="112"/>
      <c r="I261" s="113" t="s">
        <v>2354</v>
      </c>
    </row>
    <row r="262" spans="1:9" ht="26.25" hidden="1" thickBot="1" x14ac:dyDescent="0.3">
      <c r="A262" s="109" t="s">
        <v>948</v>
      </c>
      <c r="B262" s="109" t="s">
        <v>1895</v>
      </c>
      <c r="C262" s="115" t="s">
        <v>884</v>
      </c>
      <c r="D262" s="109">
        <v>2</v>
      </c>
      <c r="E262" s="109"/>
      <c r="F262" s="114"/>
      <c r="G262" s="109" t="s">
        <v>2355</v>
      </c>
      <c r="H262" s="109" t="s">
        <v>58</v>
      </c>
      <c r="I262" s="109" t="s">
        <v>2356</v>
      </c>
    </row>
    <row r="263" spans="1:9" ht="64.5" hidden="1" thickBot="1" x14ac:dyDescent="0.3">
      <c r="A263" s="112" t="s">
        <v>2357</v>
      </c>
      <c r="B263" s="112" t="s">
        <v>1895</v>
      </c>
      <c r="C263" s="115" t="s">
        <v>884</v>
      </c>
      <c r="D263" s="112">
        <v>2</v>
      </c>
      <c r="E263" s="112" t="s">
        <v>1915</v>
      </c>
      <c r="F263" s="113"/>
      <c r="G263" s="112" t="s">
        <v>2337</v>
      </c>
      <c r="H263" s="112" t="s">
        <v>2358</v>
      </c>
      <c r="I263" s="113" t="s">
        <v>2359</v>
      </c>
    </row>
    <row r="264" spans="1:9" ht="179.25" hidden="1" thickBot="1" x14ac:dyDescent="0.3">
      <c r="A264" s="109" t="s">
        <v>2360</v>
      </c>
      <c r="B264" s="109" t="s">
        <v>1890</v>
      </c>
      <c r="C264" s="115" t="s">
        <v>884</v>
      </c>
      <c r="D264" s="109">
        <v>2</v>
      </c>
      <c r="E264" s="109"/>
      <c r="F264" s="109" t="s">
        <v>1891</v>
      </c>
      <c r="G264" s="109" t="s">
        <v>2361</v>
      </c>
      <c r="H264" s="109" t="s">
        <v>2362</v>
      </c>
      <c r="I264" s="109" t="s">
        <v>2363</v>
      </c>
    </row>
    <row r="265" spans="1:9" ht="26.25" hidden="1" thickBot="1" x14ac:dyDescent="0.3">
      <c r="A265" s="112" t="s">
        <v>2364</v>
      </c>
      <c r="B265" s="112" t="s">
        <v>1890</v>
      </c>
      <c r="C265" s="115" t="s">
        <v>884</v>
      </c>
      <c r="D265" s="112">
        <v>2</v>
      </c>
      <c r="E265" s="112"/>
      <c r="F265" s="113"/>
      <c r="G265" s="112"/>
      <c r="H265" s="112"/>
      <c r="I265" s="113" t="s">
        <v>2365</v>
      </c>
    </row>
    <row r="266" spans="1:9" ht="15.75" hidden="1" thickBot="1" x14ac:dyDescent="0.3">
      <c r="A266" s="109" t="s">
        <v>2366</v>
      </c>
      <c r="B266" s="109" t="s">
        <v>1890</v>
      </c>
      <c r="C266" s="115" t="s">
        <v>884</v>
      </c>
      <c r="D266" s="109">
        <v>2</v>
      </c>
      <c r="E266" s="109"/>
      <c r="F266" s="109"/>
      <c r="G266" s="109"/>
      <c r="H266" s="109"/>
      <c r="I266" s="109" t="s">
        <v>2367</v>
      </c>
    </row>
    <row r="267" spans="1:9" ht="15.75" hidden="1" thickBot="1" x14ac:dyDescent="0.3">
      <c r="A267" s="111" t="s">
        <v>2368</v>
      </c>
      <c r="B267" s="112" t="s">
        <v>1890</v>
      </c>
      <c r="C267" s="115" t="s">
        <v>884</v>
      </c>
      <c r="D267" s="112">
        <v>2</v>
      </c>
      <c r="E267" s="112"/>
      <c r="F267" s="113"/>
      <c r="G267" s="112"/>
      <c r="H267" s="112"/>
      <c r="I267" s="113"/>
    </row>
    <row r="268" spans="1:9" ht="15.75" hidden="1" thickBot="1" x14ac:dyDescent="0.3">
      <c r="A268" s="109" t="s">
        <v>2369</v>
      </c>
      <c r="B268" s="109" t="s">
        <v>1890</v>
      </c>
      <c r="C268" s="115" t="s">
        <v>884</v>
      </c>
      <c r="D268" s="109">
        <v>2</v>
      </c>
      <c r="E268" s="109"/>
      <c r="F268" s="109"/>
      <c r="G268" s="109"/>
      <c r="H268" s="109"/>
      <c r="I268" s="109" t="s">
        <v>2370</v>
      </c>
    </row>
    <row r="269" spans="1:9" ht="15.75" hidden="1" thickBot="1" x14ac:dyDescent="0.3">
      <c r="A269" s="112" t="s">
        <v>2371</v>
      </c>
      <c r="B269" s="112" t="s">
        <v>1890</v>
      </c>
      <c r="C269" s="115" t="s">
        <v>884</v>
      </c>
      <c r="D269" s="112">
        <v>2</v>
      </c>
      <c r="E269" s="112"/>
      <c r="F269" s="113"/>
      <c r="G269" s="112"/>
      <c r="H269" s="112"/>
      <c r="I269" s="113" t="s">
        <v>2372</v>
      </c>
    </row>
    <row r="270" spans="1:9" ht="15.75" hidden="1" thickBot="1" x14ac:dyDescent="0.3">
      <c r="A270" s="111" t="s">
        <v>2373</v>
      </c>
      <c r="B270" s="109" t="s">
        <v>1890</v>
      </c>
      <c r="C270" s="115" t="s">
        <v>884</v>
      </c>
      <c r="D270" s="109">
        <v>2</v>
      </c>
      <c r="E270" s="109"/>
      <c r="F270" s="109"/>
      <c r="G270" s="109"/>
      <c r="H270" s="109"/>
      <c r="I270" s="109"/>
    </row>
    <row r="271" spans="1:9" ht="26.25" hidden="1" thickBot="1" x14ac:dyDescent="0.3">
      <c r="A271" s="112" t="s">
        <v>2374</v>
      </c>
      <c r="B271" s="112" t="s">
        <v>1890</v>
      </c>
      <c r="C271" s="115" t="s">
        <v>884</v>
      </c>
      <c r="D271" s="112">
        <v>2</v>
      </c>
      <c r="E271" s="112"/>
      <c r="F271" s="113"/>
      <c r="G271" s="112"/>
      <c r="H271" s="112"/>
      <c r="I271" s="113" t="s">
        <v>2375</v>
      </c>
    </row>
    <row r="272" spans="1:9" ht="26.25" hidden="1" thickBot="1" x14ac:dyDescent="0.3">
      <c r="A272" s="109" t="s">
        <v>2376</v>
      </c>
      <c r="B272" s="109" t="s">
        <v>1890</v>
      </c>
      <c r="C272" s="115" t="s">
        <v>884</v>
      </c>
      <c r="D272" s="109">
        <v>2</v>
      </c>
      <c r="E272" s="109"/>
      <c r="F272" s="109"/>
      <c r="G272" s="109"/>
      <c r="H272" s="109"/>
      <c r="I272" s="109" t="s">
        <v>2377</v>
      </c>
    </row>
    <row r="273" spans="1:9" ht="141" hidden="1" thickBot="1" x14ac:dyDescent="0.3">
      <c r="A273" s="112" t="s">
        <v>964</v>
      </c>
      <c r="B273" s="112" t="s">
        <v>1895</v>
      </c>
      <c r="C273" s="115" t="s">
        <v>884</v>
      </c>
      <c r="D273" s="112">
        <v>2</v>
      </c>
      <c r="E273" s="112" t="s">
        <v>1915</v>
      </c>
      <c r="F273" s="113" t="s">
        <v>2043</v>
      </c>
      <c r="G273" s="112" t="s">
        <v>1950</v>
      </c>
      <c r="H273" s="112"/>
      <c r="I273" s="113" t="s">
        <v>2378</v>
      </c>
    </row>
    <row r="274" spans="1:9" ht="51.75" hidden="1" thickBot="1" x14ac:dyDescent="0.3">
      <c r="A274" s="109" t="s">
        <v>769</v>
      </c>
      <c r="B274" s="109" t="s">
        <v>1895</v>
      </c>
      <c r="C274" s="115" t="s">
        <v>884</v>
      </c>
      <c r="D274" s="109">
        <v>2</v>
      </c>
      <c r="E274" s="109" t="s">
        <v>1915</v>
      </c>
      <c r="F274" s="114"/>
      <c r="G274" s="109" t="s">
        <v>2361</v>
      </c>
      <c r="H274" s="109" t="s">
        <v>2379</v>
      </c>
      <c r="I274" s="109" t="s">
        <v>2380</v>
      </c>
    </row>
    <row r="275" spans="1:9" ht="15.75" hidden="1" thickBot="1" x14ac:dyDescent="0.3">
      <c r="A275" s="112" t="s">
        <v>1799</v>
      </c>
      <c r="B275" s="112" t="s">
        <v>1895</v>
      </c>
      <c r="C275" s="115" t="s">
        <v>884</v>
      </c>
      <c r="D275" s="112">
        <v>2</v>
      </c>
      <c r="E275" s="112"/>
      <c r="F275" s="113"/>
      <c r="G275" s="112" t="s">
        <v>2162</v>
      </c>
      <c r="H275" s="112" t="s">
        <v>58</v>
      </c>
      <c r="I275" s="113" t="s">
        <v>2381</v>
      </c>
    </row>
    <row r="276" spans="1:9" ht="26.25" hidden="1" thickBot="1" x14ac:dyDescent="0.3">
      <c r="A276" s="109" t="s">
        <v>2382</v>
      </c>
      <c r="B276" s="109" t="s">
        <v>1895</v>
      </c>
      <c r="C276" s="115" t="s">
        <v>884</v>
      </c>
      <c r="D276" s="109">
        <v>2</v>
      </c>
      <c r="E276" s="109" t="s">
        <v>1915</v>
      </c>
      <c r="F276" s="109" t="s">
        <v>2383</v>
      </c>
      <c r="G276" s="109" t="s">
        <v>2384</v>
      </c>
      <c r="H276" s="114"/>
      <c r="I276" s="109" t="s">
        <v>2385</v>
      </c>
    </row>
    <row r="277" spans="1:9" ht="15.75" hidden="1" thickBot="1" x14ac:dyDescent="0.3">
      <c r="A277" s="112" t="s">
        <v>2386</v>
      </c>
      <c r="B277" s="112" t="s">
        <v>1895</v>
      </c>
      <c r="C277" s="115" t="s">
        <v>884</v>
      </c>
      <c r="D277" s="112">
        <v>2</v>
      </c>
      <c r="E277" s="112"/>
      <c r="F277" s="113"/>
      <c r="G277" s="112" t="s">
        <v>2387</v>
      </c>
      <c r="H277" s="112" t="s">
        <v>2388</v>
      </c>
      <c r="I277" s="113" t="s">
        <v>2389</v>
      </c>
    </row>
    <row r="278" spans="1:9" ht="255.75" hidden="1" thickBot="1" x14ac:dyDescent="0.3">
      <c r="A278" s="109" t="s">
        <v>984</v>
      </c>
      <c r="B278" s="109" t="s">
        <v>1895</v>
      </c>
      <c r="C278" s="115" t="s">
        <v>884</v>
      </c>
      <c r="D278" s="109">
        <v>2</v>
      </c>
      <c r="E278" s="109" t="s">
        <v>1915</v>
      </c>
      <c r="F278" s="109" t="s">
        <v>1978</v>
      </c>
      <c r="G278" s="109" t="s">
        <v>2390</v>
      </c>
      <c r="H278" s="109" t="s">
        <v>2391</v>
      </c>
      <c r="I278" s="109" t="s">
        <v>2392</v>
      </c>
    </row>
    <row r="279" spans="1:9" ht="77.25" hidden="1" thickBot="1" x14ac:dyDescent="0.3">
      <c r="A279" s="112" t="s">
        <v>731</v>
      </c>
      <c r="B279" s="112" t="s">
        <v>1895</v>
      </c>
      <c r="C279" s="115" t="s">
        <v>884</v>
      </c>
      <c r="D279" s="112">
        <v>2</v>
      </c>
      <c r="E279" s="112"/>
      <c r="F279" s="113"/>
      <c r="G279" s="112" t="s">
        <v>2390</v>
      </c>
      <c r="H279" s="112" t="s">
        <v>2393</v>
      </c>
      <c r="I279" s="113" t="s">
        <v>2394</v>
      </c>
    </row>
    <row r="280" spans="1:9" ht="102.75" hidden="1" thickBot="1" x14ac:dyDescent="0.3">
      <c r="A280" s="109" t="s">
        <v>925</v>
      </c>
      <c r="B280" s="109" t="s">
        <v>1895</v>
      </c>
      <c r="C280" s="115" t="s">
        <v>884</v>
      </c>
      <c r="D280" s="109">
        <v>2</v>
      </c>
      <c r="E280" s="109" t="s">
        <v>1915</v>
      </c>
      <c r="F280" s="114"/>
      <c r="G280" s="109" t="s">
        <v>2390</v>
      </c>
      <c r="H280" s="109" t="s">
        <v>2395</v>
      </c>
      <c r="I280" s="109" t="s">
        <v>2396</v>
      </c>
    </row>
    <row r="281" spans="1:9" ht="51.75" hidden="1" thickBot="1" x14ac:dyDescent="0.3">
      <c r="A281" s="112" t="s">
        <v>1005</v>
      </c>
      <c r="B281" s="112" t="s">
        <v>1895</v>
      </c>
      <c r="C281" s="115" t="s">
        <v>884</v>
      </c>
      <c r="D281" s="112">
        <v>2</v>
      </c>
      <c r="E281" s="112"/>
      <c r="F281" s="113"/>
      <c r="G281" s="112" t="s">
        <v>2397</v>
      </c>
      <c r="H281" s="112" t="s">
        <v>2398</v>
      </c>
      <c r="I281" s="113" t="s">
        <v>2399</v>
      </c>
    </row>
    <row r="282" spans="1:9" ht="39" hidden="1" thickBot="1" x14ac:dyDescent="0.3">
      <c r="A282" s="109" t="s">
        <v>1017</v>
      </c>
      <c r="B282" s="109" t="s">
        <v>1895</v>
      </c>
      <c r="C282" s="115" t="s">
        <v>884</v>
      </c>
      <c r="D282" s="109">
        <v>2</v>
      </c>
      <c r="E282" s="109" t="s">
        <v>1915</v>
      </c>
      <c r="F282" s="114"/>
      <c r="G282" s="109" t="s">
        <v>2397</v>
      </c>
      <c r="H282" s="109" t="s">
        <v>2400</v>
      </c>
      <c r="I282" s="109" t="s">
        <v>2401</v>
      </c>
    </row>
    <row r="283" spans="1:9" ht="51.75" hidden="1" thickBot="1" x14ac:dyDescent="0.3">
      <c r="A283" s="112" t="s">
        <v>2402</v>
      </c>
      <c r="B283" s="112" t="s">
        <v>1895</v>
      </c>
      <c r="C283" s="115" t="s">
        <v>884</v>
      </c>
      <c r="D283" s="112">
        <v>2</v>
      </c>
      <c r="E283" s="112" t="s">
        <v>1915</v>
      </c>
      <c r="F283" s="113"/>
      <c r="G283" s="112" t="s">
        <v>2403</v>
      </c>
      <c r="H283" s="112"/>
      <c r="I283" s="113" t="s">
        <v>2404</v>
      </c>
    </row>
    <row r="284" spans="1:9" ht="15.75" hidden="1" thickBot="1" x14ac:dyDescent="0.3">
      <c r="A284" s="111" t="s">
        <v>1201</v>
      </c>
      <c r="B284" s="109" t="s">
        <v>1895</v>
      </c>
      <c r="C284" s="115" t="s">
        <v>884</v>
      </c>
      <c r="D284" s="109">
        <v>2</v>
      </c>
      <c r="E284" s="109"/>
      <c r="F284" s="114"/>
      <c r="G284" s="109" t="s">
        <v>2405</v>
      </c>
      <c r="H284" s="109" t="s">
        <v>58</v>
      </c>
      <c r="I284" s="109"/>
    </row>
    <row r="285" spans="1:9" ht="51.75" hidden="1" thickBot="1" x14ac:dyDescent="0.3">
      <c r="A285" s="112" t="s">
        <v>2406</v>
      </c>
      <c r="B285" s="112" t="s">
        <v>1895</v>
      </c>
      <c r="C285" s="115" t="s">
        <v>884</v>
      </c>
      <c r="D285" s="112">
        <v>2</v>
      </c>
      <c r="E285" s="112" t="s">
        <v>1915</v>
      </c>
      <c r="F285" s="113" t="s">
        <v>2407</v>
      </c>
      <c r="G285" s="112" t="s">
        <v>1965</v>
      </c>
      <c r="H285" s="112"/>
      <c r="I285" s="113" t="s">
        <v>2408</v>
      </c>
    </row>
    <row r="286" spans="1:9" ht="192" hidden="1" thickBot="1" x14ac:dyDescent="0.3">
      <c r="A286" s="109" t="s">
        <v>1020</v>
      </c>
      <c r="B286" s="109" t="s">
        <v>1895</v>
      </c>
      <c r="C286" s="115" t="s">
        <v>884</v>
      </c>
      <c r="D286" s="109">
        <v>2</v>
      </c>
      <c r="E286" s="109"/>
      <c r="F286" s="114"/>
      <c r="G286" s="109" t="s">
        <v>2409</v>
      </c>
      <c r="H286" s="109" t="s">
        <v>2410</v>
      </c>
      <c r="I286" s="109" t="s">
        <v>2411</v>
      </c>
    </row>
    <row r="287" spans="1:9" ht="153.75" hidden="1" thickBot="1" x14ac:dyDescent="0.3">
      <c r="A287" s="112" t="s">
        <v>972</v>
      </c>
      <c r="B287" s="112" t="s">
        <v>2412</v>
      </c>
      <c r="C287" s="115" t="s">
        <v>884</v>
      </c>
      <c r="D287" s="112">
        <v>2</v>
      </c>
      <c r="E287" s="112" t="s">
        <v>1915</v>
      </c>
      <c r="F287" s="113"/>
      <c r="G287" s="112" t="s">
        <v>2413</v>
      </c>
      <c r="H287" s="112" t="s">
        <v>2414</v>
      </c>
      <c r="I287" s="113" t="s">
        <v>2415</v>
      </c>
    </row>
    <row r="288" spans="1:9" ht="115.5" hidden="1" thickBot="1" x14ac:dyDescent="0.3">
      <c r="A288" s="109" t="s">
        <v>959</v>
      </c>
      <c r="B288" s="109" t="s">
        <v>2412</v>
      </c>
      <c r="C288" s="115" t="s">
        <v>884</v>
      </c>
      <c r="D288" s="109">
        <v>2</v>
      </c>
      <c r="E288" s="109" t="s">
        <v>1915</v>
      </c>
      <c r="F288" s="114"/>
      <c r="G288" s="109" t="s">
        <v>2413</v>
      </c>
      <c r="H288" s="109" t="s">
        <v>2416</v>
      </c>
      <c r="I288" s="109" t="s">
        <v>2417</v>
      </c>
    </row>
    <row r="289" spans="1:9" ht="51.75" hidden="1" thickBot="1" x14ac:dyDescent="0.3">
      <c r="A289" s="112" t="s">
        <v>951</v>
      </c>
      <c r="B289" s="112" t="s">
        <v>2412</v>
      </c>
      <c r="C289" s="115" t="s">
        <v>884</v>
      </c>
      <c r="D289" s="112">
        <v>2</v>
      </c>
      <c r="E289" s="112"/>
      <c r="F289" s="113"/>
      <c r="G289" s="112" t="s">
        <v>2418</v>
      </c>
      <c r="H289" s="112" t="s">
        <v>2419</v>
      </c>
      <c r="I289" s="113" t="s">
        <v>2420</v>
      </c>
    </row>
    <row r="290" spans="1:9" ht="77.25" hidden="1" thickBot="1" x14ac:dyDescent="0.3">
      <c r="A290" s="109" t="s">
        <v>1003</v>
      </c>
      <c r="B290" s="109" t="s">
        <v>2412</v>
      </c>
      <c r="C290" s="115" t="s">
        <v>884</v>
      </c>
      <c r="D290" s="109">
        <v>2</v>
      </c>
      <c r="E290" s="109" t="s">
        <v>1915</v>
      </c>
      <c r="F290" s="114"/>
      <c r="G290" s="109" t="s">
        <v>2421</v>
      </c>
      <c r="H290" s="109"/>
      <c r="I290" s="109" t="s">
        <v>2422</v>
      </c>
    </row>
    <row r="291" spans="1:9" ht="90" hidden="1" thickBot="1" x14ac:dyDescent="0.3">
      <c r="A291" s="112" t="s">
        <v>936</v>
      </c>
      <c r="B291" s="112" t="s">
        <v>2412</v>
      </c>
      <c r="C291" s="115" t="s">
        <v>884</v>
      </c>
      <c r="D291" s="112">
        <v>2</v>
      </c>
      <c r="E291" s="112" t="s">
        <v>1915</v>
      </c>
      <c r="F291" s="113"/>
      <c r="G291" s="112" t="s">
        <v>2418</v>
      </c>
      <c r="H291" s="112" t="s">
        <v>2423</v>
      </c>
      <c r="I291" s="113" t="s">
        <v>2424</v>
      </c>
    </row>
    <row r="292" spans="1:9" ht="39" hidden="1" thickBot="1" x14ac:dyDescent="0.3">
      <c r="A292" s="109" t="s">
        <v>855</v>
      </c>
      <c r="B292" s="109" t="s">
        <v>2412</v>
      </c>
      <c r="C292" s="115" t="s">
        <v>884</v>
      </c>
      <c r="D292" s="109">
        <v>2</v>
      </c>
      <c r="E292" s="109"/>
      <c r="F292" s="114"/>
      <c r="G292" s="109" t="s">
        <v>2418</v>
      </c>
      <c r="H292" s="109" t="s">
        <v>2425</v>
      </c>
      <c r="I292" s="109" t="s">
        <v>2426</v>
      </c>
    </row>
    <row r="293" spans="1:9" ht="15.75" hidden="1" thickBot="1" x14ac:dyDescent="0.3">
      <c r="A293" s="112" t="s">
        <v>2427</v>
      </c>
      <c r="B293" s="112" t="s">
        <v>1895</v>
      </c>
      <c r="C293" s="115" t="s">
        <v>884</v>
      </c>
      <c r="D293" s="112">
        <v>2</v>
      </c>
      <c r="E293" s="112" t="s">
        <v>1915</v>
      </c>
      <c r="F293" s="113"/>
      <c r="G293" s="112" t="s">
        <v>2428</v>
      </c>
      <c r="H293" s="112" t="s">
        <v>58</v>
      </c>
      <c r="I293" s="113" t="s">
        <v>2429</v>
      </c>
    </row>
    <row r="294" spans="1:9" ht="77.25" hidden="1" thickBot="1" x14ac:dyDescent="0.3">
      <c r="A294" s="109" t="s">
        <v>1000</v>
      </c>
      <c r="B294" s="109" t="s">
        <v>1895</v>
      </c>
      <c r="C294" s="115" t="s">
        <v>884</v>
      </c>
      <c r="D294" s="109">
        <v>2</v>
      </c>
      <c r="E294" s="109"/>
      <c r="F294" s="114"/>
      <c r="G294" s="109" t="s">
        <v>2430</v>
      </c>
      <c r="H294" s="109" t="s">
        <v>2431</v>
      </c>
      <c r="I294" s="109" t="s">
        <v>2432</v>
      </c>
    </row>
    <row r="295" spans="1:9" ht="90" hidden="1" thickBot="1" x14ac:dyDescent="0.3">
      <c r="A295" s="112" t="s">
        <v>1878</v>
      </c>
      <c r="B295" s="112" t="s">
        <v>1895</v>
      </c>
      <c r="C295" s="115" t="s">
        <v>884</v>
      </c>
      <c r="D295" s="112">
        <v>2</v>
      </c>
      <c r="E295" s="112"/>
      <c r="F295" s="113"/>
      <c r="G295" s="112" t="s">
        <v>2050</v>
      </c>
      <c r="H295" s="112" t="s">
        <v>2433</v>
      </c>
      <c r="I295" s="113" t="s">
        <v>2434</v>
      </c>
    </row>
    <row r="296" spans="1:9" ht="64.5" hidden="1" thickBot="1" x14ac:dyDescent="0.3">
      <c r="A296" s="109" t="s">
        <v>896</v>
      </c>
      <c r="B296" s="109" t="s">
        <v>1895</v>
      </c>
      <c r="C296" s="115" t="s">
        <v>884</v>
      </c>
      <c r="D296" s="109">
        <v>2</v>
      </c>
      <c r="E296" s="109"/>
      <c r="F296" s="114"/>
      <c r="G296" s="109" t="s">
        <v>2435</v>
      </c>
      <c r="H296" s="109" t="s">
        <v>2436</v>
      </c>
      <c r="I296" s="109" t="s">
        <v>2437</v>
      </c>
    </row>
    <row r="297" spans="1:9" ht="15.75" hidden="1" thickBot="1" x14ac:dyDescent="0.3">
      <c r="A297" s="112" t="s">
        <v>2438</v>
      </c>
      <c r="B297" s="112" t="s">
        <v>1953</v>
      </c>
      <c r="C297" s="115" t="s">
        <v>884</v>
      </c>
      <c r="D297" s="112">
        <v>2</v>
      </c>
      <c r="E297" s="112"/>
      <c r="F297" s="113" t="s">
        <v>2439</v>
      </c>
      <c r="G297" s="112" t="s">
        <v>2440</v>
      </c>
      <c r="H297" s="112"/>
      <c r="I297" s="113" t="s">
        <v>2441</v>
      </c>
    </row>
    <row r="298" spans="1:9" ht="64.5" hidden="1" thickBot="1" x14ac:dyDescent="0.3">
      <c r="A298" s="109" t="s">
        <v>1004</v>
      </c>
      <c r="B298" s="109" t="s">
        <v>1895</v>
      </c>
      <c r="C298" s="115" t="s">
        <v>884</v>
      </c>
      <c r="D298" s="109">
        <v>2</v>
      </c>
      <c r="E298" s="109"/>
      <c r="F298" s="114"/>
      <c r="G298" s="109" t="s">
        <v>2435</v>
      </c>
      <c r="H298" s="109" t="s">
        <v>2442</v>
      </c>
      <c r="I298" s="109" t="s">
        <v>2443</v>
      </c>
    </row>
    <row r="299" spans="1:9" ht="51.75" hidden="1" thickBot="1" x14ac:dyDescent="0.3">
      <c r="A299" s="112" t="s">
        <v>886</v>
      </c>
      <c r="B299" s="112" t="s">
        <v>1890</v>
      </c>
      <c r="C299" s="115" t="s">
        <v>884</v>
      </c>
      <c r="D299" s="112">
        <v>2</v>
      </c>
      <c r="E299" s="112"/>
      <c r="F299" s="113" t="s">
        <v>1982</v>
      </c>
      <c r="G299" s="112" t="s">
        <v>2435</v>
      </c>
      <c r="H299" s="112" t="s">
        <v>2444</v>
      </c>
      <c r="I299" s="113" t="s">
        <v>2445</v>
      </c>
    </row>
    <row r="300" spans="1:9" ht="15.75" hidden="1" thickBot="1" x14ac:dyDescent="0.3">
      <c r="A300" s="109" t="s">
        <v>935</v>
      </c>
      <c r="B300" s="109" t="s">
        <v>1890</v>
      </c>
      <c r="C300" s="115" t="s">
        <v>884</v>
      </c>
      <c r="D300" s="109">
        <v>2</v>
      </c>
      <c r="E300" s="109"/>
      <c r="F300" s="109" t="s">
        <v>2446</v>
      </c>
      <c r="G300" s="109" t="s">
        <v>2447</v>
      </c>
      <c r="H300" s="109"/>
      <c r="I300" s="109" t="s">
        <v>2448</v>
      </c>
    </row>
    <row r="301" spans="1:9" ht="102.75" hidden="1" thickBot="1" x14ac:dyDescent="0.3">
      <c r="A301" s="112" t="s">
        <v>2449</v>
      </c>
      <c r="B301" s="112" t="s">
        <v>1895</v>
      </c>
      <c r="C301" s="115" t="s">
        <v>884</v>
      </c>
      <c r="D301" s="112">
        <v>2</v>
      </c>
      <c r="E301" s="112" t="s">
        <v>1915</v>
      </c>
      <c r="F301" s="113"/>
      <c r="G301" s="112" t="s">
        <v>2054</v>
      </c>
      <c r="H301" s="112" t="s">
        <v>2450</v>
      </c>
      <c r="I301" s="113" t="s">
        <v>2451</v>
      </c>
    </row>
    <row r="302" spans="1:9" ht="15.75" hidden="1" thickBot="1" x14ac:dyDescent="0.3">
      <c r="A302" s="111" t="s">
        <v>983</v>
      </c>
      <c r="B302" s="109" t="s">
        <v>1895</v>
      </c>
      <c r="C302" s="115" t="s">
        <v>884</v>
      </c>
      <c r="D302" s="109">
        <v>2</v>
      </c>
      <c r="E302" s="109" t="s">
        <v>1915</v>
      </c>
      <c r="F302" s="114"/>
      <c r="G302" s="109" t="s">
        <v>2452</v>
      </c>
      <c r="H302" s="109"/>
      <c r="I302" s="109"/>
    </row>
    <row r="303" spans="1:9" ht="15.75" hidden="1" thickBot="1" x14ac:dyDescent="0.3">
      <c r="A303" s="111" t="s">
        <v>2453</v>
      </c>
      <c r="B303" s="112" t="s">
        <v>1895</v>
      </c>
      <c r="C303" s="115" t="s">
        <v>884</v>
      </c>
      <c r="D303" s="112">
        <v>2</v>
      </c>
      <c r="E303" s="112" t="s">
        <v>1915</v>
      </c>
      <c r="F303" s="113" t="s">
        <v>1978</v>
      </c>
      <c r="G303" s="112" t="s">
        <v>2454</v>
      </c>
      <c r="H303" s="112"/>
      <c r="I303" s="113"/>
    </row>
    <row r="304" spans="1:9" ht="26.25" hidden="1" thickBot="1" x14ac:dyDescent="0.3">
      <c r="A304" s="111" t="s">
        <v>2455</v>
      </c>
      <c r="B304" s="109" t="s">
        <v>1953</v>
      </c>
      <c r="C304" s="115" t="s">
        <v>884</v>
      </c>
      <c r="D304" s="109">
        <v>2</v>
      </c>
      <c r="E304" s="109" t="s">
        <v>1915</v>
      </c>
      <c r="F304" s="114"/>
      <c r="G304" s="109" t="s">
        <v>2456</v>
      </c>
      <c r="H304" s="109"/>
      <c r="I304" s="109"/>
    </row>
    <row r="305" spans="1:9" ht="15.75" hidden="1" thickBot="1" x14ac:dyDescent="0.3">
      <c r="A305" s="111" t="s">
        <v>2457</v>
      </c>
      <c r="B305" s="112" t="s">
        <v>1895</v>
      </c>
      <c r="C305" s="115" t="s">
        <v>884</v>
      </c>
      <c r="D305" s="112">
        <v>2</v>
      </c>
      <c r="E305" s="112" t="s">
        <v>1915</v>
      </c>
      <c r="F305" s="113"/>
      <c r="G305" s="112" t="s">
        <v>2452</v>
      </c>
      <c r="H305" s="112"/>
      <c r="I305" s="113"/>
    </row>
    <row r="306" spans="1:9" ht="15.75" hidden="1" thickBot="1" x14ac:dyDescent="0.3">
      <c r="A306" s="111" t="s">
        <v>2458</v>
      </c>
      <c r="B306" s="109" t="s">
        <v>1895</v>
      </c>
      <c r="C306" s="115" t="s">
        <v>884</v>
      </c>
      <c r="D306" s="109">
        <v>2</v>
      </c>
      <c r="E306" s="109"/>
      <c r="F306" s="114"/>
      <c r="G306" s="109" t="s">
        <v>1950</v>
      </c>
      <c r="H306" s="109"/>
      <c r="I306" s="109"/>
    </row>
    <row r="307" spans="1:9" ht="15.75" hidden="1" thickBot="1" x14ac:dyDescent="0.3">
      <c r="A307" s="111" t="s">
        <v>2459</v>
      </c>
      <c r="B307" s="112" t="s">
        <v>1895</v>
      </c>
      <c r="C307" s="115" t="s">
        <v>884</v>
      </c>
      <c r="D307" s="112">
        <v>2</v>
      </c>
      <c r="E307" s="112"/>
      <c r="F307" s="113"/>
      <c r="G307" s="112" t="s">
        <v>1950</v>
      </c>
      <c r="H307" s="112"/>
      <c r="I307" s="113"/>
    </row>
    <row r="308" spans="1:9" ht="26.25" hidden="1" thickBot="1" x14ac:dyDescent="0.3">
      <c r="A308" s="109" t="s">
        <v>2460</v>
      </c>
      <c r="B308" s="109" t="s">
        <v>2005</v>
      </c>
      <c r="C308" s="115" t="s">
        <v>884</v>
      </c>
      <c r="D308" s="109">
        <v>2</v>
      </c>
      <c r="E308" s="109" t="s">
        <v>1915</v>
      </c>
      <c r="F308" s="109" t="s">
        <v>2461</v>
      </c>
      <c r="G308" s="109" t="s">
        <v>2462</v>
      </c>
      <c r="H308" s="109" t="s">
        <v>2463</v>
      </c>
      <c r="I308" s="109" t="s">
        <v>2464</v>
      </c>
    </row>
    <row r="309" spans="1:9" ht="51.75" hidden="1" thickBot="1" x14ac:dyDescent="0.3">
      <c r="A309" s="112" t="s">
        <v>1012</v>
      </c>
      <c r="B309" s="112" t="s">
        <v>2005</v>
      </c>
      <c r="C309" s="115" t="s">
        <v>884</v>
      </c>
      <c r="D309" s="112">
        <v>2</v>
      </c>
      <c r="E309" s="112" t="s">
        <v>1915</v>
      </c>
      <c r="F309" s="113" t="s">
        <v>2461</v>
      </c>
      <c r="G309" s="112" t="s">
        <v>2465</v>
      </c>
      <c r="H309" s="112" t="s">
        <v>2466</v>
      </c>
      <c r="I309" s="113" t="s">
        <v>2467</v>
      </c>
    </row>
    <row r="310" spans="1:9" ht="128.25" hidden="1" thickBot="1" x14ac:dyDescent="0.3">
      <c r="A310" s="109" t="s">
        <v>962</v>
      </c>
      <c r="B310" s="109" t="s">
        <v>1895</v>
      </c>
      <c r="C310" s="115" t="s">
        <v>884</v>
      </c>
      <c r="D310" s="109">
        <v>2</v>
      </c>
      <c r="E310" s="109" t="s">
        <v>1915</v>
      </c>
      <c r="F310" s="114"/>
      <c r="G310" s="109" t="s">
        <v>2468</v>
      </c>
      <c r="H310" s="109" t="s">
        <v>2469</v>
      </c>
      <c r="I310" s="109" t="s">
        <v>2470</v>
      </c>
    </row>
    <row r="311" spans="1:9" ht="15.75" hidden="1" thickBot="1" x14ac:dyDescent="0.3">
      <c r="A311" s="112" t="s">
        <v>2471</v>
      </c>
      <c r="B311" s="112" t="s">
        <v>1895</v>
      </c>
      <c r="C311" s="115" t="s">
        <v>884</v>
      </c>
      <c r="D311" s="112">
        <v>2</v>
      </c>
      <c r="E311" s="112" t="s">
        <v>1915</v>
      </c>
      <c r="F311" s="113"/>
      <c r="G311" s="112" t="s">
        <v>2472</v>
      </c>
      <c r="H311" s="112" t="s">
        <v>58</v>
      </c>
      <c r="I311" s="113" t="s">
        <v>2163</v>
      </c>
    </row>
    <row r="312" spans="1:9" ht="51.75" hidden="1" thickBot="1" x14ac:dyDescent="0.3">
      <c r="A312" s="109" t="s">
        <v>741</v>
      </c>
      <c r="B312" s="109" t="s">
        <v>1953</v>
      </c>
      <c r="C312" s="115" t="s">
        <v>884</v>
      </c>
      <c r="D312" s="109">
        <v>2</v>
      </c>
      <c r="E312" s="109" t="s">
        <v>1915</v>
      </c>
      <c r="F312" s="109" t="s">
        <v>1954</v>
      </c>
      <c r="G312" s="109" t="s">
        <v>2473</v>
      </c>
      <c r="H312" s="109" t="s">
        <v>2474</v>
      </c>
      <c r="I312" s="109" t="s">
        <v>2475</v>
      </c>
    </row>
    <row r="313" spans="1:9" ht="15.75" hidden="1" thickBot="1" x14ac:dyDescent="0.3">
      <c r="A313" s="111" t="s">
        <v>2476</v>
      </c>
      <c r="B313" s="112" t="s">
        <v>1953</v>
      </c>
      <c r="C313" s="115" t="s">
        <v>884</v>
      </c>
      <c r="D313" s="112">
        <v>2</v>
      </c>
      <c r="E313" s="112" t="s">
        <v>1915</v>
      </c>
      <c r="F313" s="113"/>
      <c r="G313" s="112"/>
      <c r="H313" s="112"/>
      <c r="I313" s="113"/>
    </row>
    <row r="314" spans="1:9" ht="39" hidden="1" thickBot="1" x14ac:dyDescent="0.3">
      <c r="A314" s="109" t="s">
        <v>2477</v>
      </c>
      <c r="B314" s="109" t="s">
        <v>1953</v>
      </c>
      <c r="C314" s="115" t="s">
        <v>884</v>
      </c>
      <c r="D314" s="109">
        <v>2</v>
      </c>
      <c r="E314" s="109" t="s">
        <v>1915</v>
      </c>
      <c r="F314" s="109"/>
      <c r="G314" s="109"/>
      <c r="H314" s="109"/>
      <c r="I314" s="109" t="s">
        <v>2478</v>
      </c>
    </row>
    <row r="315" spans="1:9" ht="15.75" hidden="1" thickBot="1" x14ac:dyDescent="0.3">
      <c r="A315" s="111" t="s">
        <v>2479</v>
      </c>
      <c r="B315" s="112" t="s">
        <v>1953</v>
      </c>
      <c r="C315" s="115" t="s">
        <v>884</v>
      </c>
      <c r="D315" s="112">
        <v>2</v>
      </c>
      <c r="E315" s="112" t="s">
        <v>1915</v>
      </c>
      <c r="F315" s="113"/>
      <c r="G315" s="112"/>
      <c r="H315" s="112"/>
      <c r="I315" s="113"/>
    </row>
    <row r="316" spans="1:9" ht="15.75" hidden="1" thickBot="1" x14ac:dyDescent="0.3">
      <c r="A316" s="111" t="s">
        <v>2480</v>
      </c>
      <c r="B316" s="109" t="s">
        <v>1953</v>
      </c>
      <c r="C316" s="115" t="s">
        <v>884</v>
      </c>
      <c r="D316" s="109">
        <v>2</v>
      </c>
      <c r="E316" s="109" t="s">
        <v>1915</v>
      </c>
      <c r="F316" s="109"/>
      <c r="G316" s="109"/>
      <c r="H316" s="109"/>
      <c r="I316" s="109"/>
    </row>
    <row r="317" spans="1:9" ht="15.75" hidden="1" thickBot="1" x14ac:dyDescent="0.3">
      <c r="A317" s="111" t="s">
        <v>2481</v>
      </c>
      <c r="B317" s="112" t="s">
        <v>1953</v>
      </c>
      <c r="C317" s="115" t="s">
        <v>884</v>
      </c>
      <c r="D317" s="112">
        <v>2</v>
      </c>
      <c r="E317" s="112" t="s">
        <v>1915</v>
      </c>
      <c r="F317" s="113"/>
      <c r="G317" s="112"/>
      <c r="H317" s="112"/>
      <c r="I317" s="113"/>
    </row>
    <row r="318" spans="1:9" ht="51.75" hidden="1" thickBot="1" x14ac:dyDescent="0.3">
      <c r="A318" s="109" t="s">
        <v>905</v>
      </c>
      <c r="B318" s="109" t="s">
        <v>1953</v>
      </c>
      <c r="C318" s="115" t="s">
        <v>884</v>
      </c>
      <c r="D318" s="109">
        <v>2</v>
      </c>
      <c r="E318" s="109" t="s">
        <v>1915</v>
      </c>
      <c r="F318" s="109" t="s">
        <v>2482</v>
      </c>
      <c r="G318" s="109" t="s">
        <v>2483</v>
      </c>
      <c r="H318" s="109" t="s">
        <v>2484</v>
      </c>
      <c r="I318" s="109" t="s">
        <v>2485</v>
      </c>
    </row>
    <row r="319" spans="1:9" ht="15.75" hidden="1" thickBot="1" x14ac:dyDescent="0.3">
      <c r="A319" s="112" t="s">
        <v>2486</v>
      </c>
      <c r="B319" s="112" t="s">
        <v>2023</v>
      </c>
      <c r="C319" s="115" t="s">
        <v>884</v>
      </c>
      <c r="D319" s="112">
        <v>2</v>
      </c>
      <c r="E319" s="112" t="s">
        <v>1915</v>
      </c>
      <c r="F319" s="113" t="s">
        <v>1978</v>
      </c>
      <c r="G319" s="112" t="s">
        <v>2472</v>
      </c>
      <c r="H319" s="112" t="s">
        <v>58</v>
      </c>
      <c r="I319" s="113" t="s">
        <v>2381</v>
      </c>
    </row>
    <row r="320" spans="1:9" ht="39" hidden="1" thickBot="1" x14ac:dyDescent="0.3">
      <c r="A320" s="109" t="s">
        <v>975</v>
      </c>
      <c r="B320" s="109" t="s">
        <v>2023</v>
      </c>
      <c r="C320" s="115" t="s">
        <v>884</v>
      </c>
      <c r="D320" s="109">
        <v>2</v>
      </c>
      <c r="E320" s="109"/>
      <c r="F320" s="114"/>
      <c r="G320" s="109" t="s">
        <v>2487</v>
      </c>
      <c r="H320" s="109" t="s">
        <v>2488</v>
      </c>
      <c r="I320" s="109" t="s">
        <v>2489</v>
      </c>
    </row>
    <row r="321" spans="1:9" ht="115.5" hidden="1" thickBot="1" x14ac:dyDescent="0.3">
      <c r="A321" s="112" t="s">
        <v>969</v>
      </c>
      <c r="B321" s="112" t="s">
        <v>2023</v>
      </c>
      <c r="C321" s="115" t="s">
        <v>884</v>
      </c>
      <c r="D321" s="112">
        <v>2</v>
      </c>
      <c r="E321" s="112"/>
      <c r="F321" s="113"/>
      <c r="G321" s="112" t="s">
        <v>2487</v>
      </c>
      <c r="H321" s="112" t="s">
        <v>2490</v>
      </c>
      <c r="I321" s="113" t="s">
        <v>2491</v>
      </c>
    </row>
    <row r="322" spans="1:9" ht="141" hidden="1" thickBot="1" x14ac:dyDescent="0.3">
      <c r="A322" s="109" t="s">
        <v>958</v>
      </c>
      <c r="B322" s="109" t="s">
        <v>2023</v>
      </c>
      <c r="C322" s="115" t="s">
        <v>884</v>
      </c>
      <c r="D322" s="109">
        <v>2</v>
      </c>
      <c r="E322" s="109"/>
      <c r="F322" s="114"/>
      <c r="G322" s="109" t="s">
        <v>2487</v>
      </c>
      <c r="H322" s="109" t="s">
        <v>2492</v>
      </c>
      <c r="I322" s="109" t="s">
        <v>2493</v>
      </c>
    </row>
    <row r="323" spans="1:9" ht="39" hidden="1" thickBot="1" x14ac:dyDescent="0.3">
      <c r="A323" s="112" t="s">
        <v>1001</v>
      </c>
      <c r="B323" s="112" t="s">
        <v>2023</v>
      </c>
      <c r="C323" s="115" t="s">
        <v>884</v>
      </c>
      <c r="D323" s="112">
        <v>2</v>
      </c>
      <c r="E323" s="112" t="s">
        <v>1915</v>
      </c>
      <c r="F323" s="113" t="s">
        <v>1978</v>
      </c>
      <c r="G323" s="112" t="s">
        <v>2058</v>
      </c>
      <c r="H323" s="112" t="s">
        <v>2494</v>
      </c>
      <c r="I323" s="113" t="s">
        <v>2495</v>
      </c>
    </row>
    <row r="324" spans="1:9" ht="77.25" hidden="1" thickBot="1" x14ac:dyDescent="0.3">
      <c r="A324" s="109" t="s">
        <v>2496</v>
      </c>
      <c r="B324" s="109" t="s">
        <v>1953</v>
      </c>
      <c r="C324" s="115" t="s">
        <v>884</v>
      </c>
      <c r="D324" s="109">
        <v>2</v>
      </c>
      <c r="E324" s="109" t="s">
        <v>1915</v>
      </c>
      <c r="F324" s="114"/>
      <c r="G324" s="109" t="s">
        <v>2497</v>
      </c>
      <c r="H324" s="109" t="s">
        <v>2498</v>
      </c>
      <c r="I324" s="109" t="s">
        <v>2499</v>
      </c>
    </row>
    <row r="325" spans="1:9" ht="15.75" hidden="1" thickBot="1" x14ac:dyDescent="0.3">
      <c r="A325" s="111" t="s">
        <v>2500</v>
      </c>
      <c r="B325" s="112" t="s">
        <v>1953</v>
      </c>
      <c r="C325" s="115" t="s">
        <v>884</v>
      </c>
      <c r="D325" s="112">
        <v>2</v>
      </c>
      <c r="E325" s="112" t="s">
        <v>1915</v>
      </c>
      <c r="F325" s="113"/>
      <c r="G325" s="112"/>
      <c r="H325" s="112"/>
      <c r="I325" s="113"/>
    </row>
    <row r="326" spans="1:9" ht="15.75" hidden="1" thickBot="1" x14ac:dyDescent="0.3">
      <c r="A326" s="111" t="s">
        <v>2501</v>
      </c>
      <c r="B326" s="109" t="s">
        <v>1953</v>
      </c>
      <c r="C326" s="115" t="s">
        <v>884</v>
      </c>
      <c r="D326" s="109">
        <v>2</v>
      </c>
      <c r="E326" s="109" t="s">
        <v>1915</v>
      </c>
      <c r="F326" s="114"/>
      <c r="G326" s="109"/>
      <c r="H326" s="109"/>
      <c r="I326" s="109"/>
    </row>
    <row r="327" spans="1:9" ht="26.25" hidden="1" thickBot="1" x14ac:dyDescent="0.3">
      <c r="A327" s="112" t="s">
        <v>2502</v>
      </c>
      <c r="B327" s="112" t="s">
        <v>1953</v>
      </c>
      <c r="C327" s="115" t="s">
        <v>884</v>
      </c>
      <c r="D327" s="112">
        <v>2</v>
      </c>
      <c r="E327" s="112" t="s">
        <v>1915</v>
      </c>
      <c r="F327" s="113"/>
      <c r="G327" s="112"/>
      <c r="H327" s="112"/>
      <c r="I327" s="113" t="s">
        <v>2503</v>
      </c>
    </row>
    <row r="328" spans="1:9" ht="15.75" hidden="1" thickBot="1" x14ac:dyDescent="0.3">
      <c r="A328" s="111" t="s">
        <v>2504</v>
      </c>
      <c r="B328" s="109" t="s">
        <v>1953</v>
      </c>
      <c r="C328" s="115" t="s">
        <v>884</v>
      </c>
      <c r="D328" s="109">
        <v>2</v>
      </c>
      <c r="E328" s="109" t="s">
        <v>1915</v>
      </c>
      <c r="F328" s="114"/>
      <c r="G328" s="109"/>
      <c r="H328" s="109"/>
      <c r="I328" s="109"/>
    </row>
    <row r="329" spans="1:9" ht="15.75" hidden="1" thickBot="1" x14ac:dyDescent="0.3">
      <c r="A329" s="111" t="s">
        <v>2505</v>
      </c>
      <c r="B329" s="112" t="s">
        <v>1953</v>
      </c>
      <c r="C329" s="115" t="s">
        <v>884</v>
      </c>
      <c r="D329" s="112">
        <v>2</v>
      </c>
      <c r="E329" s="112" t="s">
        <v>1915</v>
      </c>
      <c r="F329" s="113"/>
      <c r="G329" s="112"/>
      <c r="H329" s="112"/>
      <c r="I329" s="113"/>
    </row>
    <row r="330" spans="1:9" ht="15.75" hidden="1" thickBot="1" x14ac:dyDescent="0.3">
      <c r="A330" s="111" t="s">
        <v>2506</v>
      </c>
      <c r="B330" s="109" t="s">
        <v>1953</v>
      </c>
      <c r="C330" s="115" t="s">
        <v>884</v>
      </c>
      <c r="D330" s="109">
        <v>2</v>
      </c>
      <c r="E330" s="109" t="s">
        <v>1915</v>
      </c>
      <c r="F330" s="114"/>
      <c r="G330" s="109"/>
      <c r="H330" s="109"/>
      <c r="I330" s="109"/>
    </row>
    <row r="331" spans="1:9" ht="15.75" hidden="1" thickBot="1" x14ac:dyDescent="0.3">
      <c r="A331" s="112" t="s">
        <v>2507</v>
      </c>
      <c r="B331" s="112" t="s">
        <v>1953</v>
      </c>
      <c r="C331" s="115" t="s">
        <v>884</v>
      </c>
      <c r="D331" s="112">
        <v>2</v>
      </c>
      <c r="E331" s="112" t="s">
        <v>1915</v>
      </c>
      <c r="F331" s="113"/>
      <c r="G331" s="112"/>
      <c r="H331" s="112"/>
      <c r="I331" s="113" t="s">
        <v>2508</v>
      </c>
    </row>
    <row r="332" spans="1:9" ht="15.75" hidden="1" thickBot="1" x14ac:dyDescent="0.3">
      <c r="A332" s="111" t="s">
        <v>2509</v>
      </c>
      <c r="B332" s="109" t="s">
        <v>1953</v>
      </c>
      <c r="C332" s="115" t="s">
        <v>884</v>
      </c>
      <c r="D332" s="109">
        <v>2</v>
      </c>
      <c r="E332" s="109" t="s">
        <v>1915</v>
      </c>
      <c r="F332" s="114"/>
      <c r="G332" s="109"/>
      <c r="H332" s="109"/>
      <c r="I332" s="109"/>
    </row>
    <row r="333" spans="1:9" ht="26.25" hidden="1" thickBot="1" x14ac:dyDescent="0.3">
      <c r="A333" s="112" t="s">
        <v>2510</v>
      </c>
      <c r="B333" s="112" t="s">
        <v>1953</v>
      </c>
      <c r="C333" s="115" t="s">
        <v>884</v>
      </c>
      <c r="D333" s="112">
        <v>2</v>
      </c>
      <c r="E333" s="112" t="s">
        <v>1915</v>
      </c>
      <c r="F333" s="113"/>
      <c r="G333" s="112"/>
      <c r="H333" s="112"/>
      <c r="I333" s="113" t="s">
        <v>2503</v>
      </c>
    </row>
    <row r="334" spans="1:9" ht="15.75" hidden="1" thickBot="1" x14ac:dyDescent="0.3">
      <c r="A334" s="109" t="s">
        <v>2511</v>
      </c>
      <c r="B334" s="109" t="s">
        <v>1953</v>
      </c>
      <c r="C334" s="115" t="s">
        <v>884</v>
      </c>
      <c r="D334" s="109">
        <v>2</v>
      </c>
      <c r="E334" s="109" t="s">
        <v>1915</v>
      </c>
      <c r="F334" s="114"/>
      <c r="G334" s="109"/>
      <c r="H334" s="109"/>
      <c r="I334" s="109" t="s">
        <v>2512</v>
      </c>
    </row>
    <row r="335" spans="1:9" ht="15.75" hidden="1" thickBot="1" x14ac:dyDescent="0.3">
      <c r="A335" s="111" t="s">
        <v>2513</v>
      </c>
      <c r="B335" s="112" t="s">
        <v>1953</v>
      </c>
      <c r="C335" s="115" t="s">
        <v>884</v>
      </c>
      <c r="D335" s="112">
        <v>2</v>
      </c>
      <c r="E335" s="112" t="s">
        <v>1915</v>
      </c>
      <c r="F335" s="113"/>
      <c r="G335" s="112"/>
      <c r="H335" s="112"/>
      <c r="I335" s="113"/>
    </row>
    <row r="336" spans="1:9" ht="15.75" hidden="1" thickBot="1" x14ac:dyDescent="0.3">
      <c r="A336" s="111" t="s">
        <v>2514</v>
      </c>
      <c r="B336" s="109" t="s">
        <v>1953</v>
      </c>
      <c r="C336" s="115" t="s">
        <v>884</v>
      </c>
      <c r="D336" s="109">
        <v>2</v>
      </c>
      <c r="E336" s="109" t="s">
        <v>1915</v>
      </c>
      <c r="F336" s="114"/>
      <c r="G336" s="109"/>
      <c r="H336" s="109"/>
      <c r="I336" s="109"/>
    </row>
    <row r="337" spans="1:9" ht="15.75" hidden="1" thickBot="1" x14ac:dyDescent="0.3">
      <c r="A337" s="111" t="s">
        <v>2515</v>
      </c>
      <c r="B337" s="112" t="s">
        <v>1953</v>
      </c>
      <c r="C337" s="115" t="s">
        <v>884</v>
      </c>
      <c r="D337" s="112">
        <v>2</v>
      </c>
      <c r="E337" s="112" t="s">
        <v>1915</v>
      </c>
      <c r="F337" s="113"/>
      <c r="G337" s="112"/>
      <c r="H337" s="112"/>
      <c r="I337" s="113"/>
    </row>
    <row r="338" spans="1:9" ht="15.75" hidden="1" thickBot="1" x14ac:dyDescent="0.3">
      <c r="A338" s="111" t="s">
        <v>2516</v>
      </c>
      <c r="B338" s="109" t="s">
        <v>1953</v>
      </c>
      <c r="C338" s="115" t="s">
        <v>884</v>
      </c>
      <c r="D338" s="109">
        <v>2</v>
      </c>
      <c r="E338" s="109" t="s">
        <v>1915</v>
      </c>
      <c r="F338" s="114"/>
      <c r="G338" s="109"/>
      <c r="H338" s="109"/>
      <c r="I338" s="109"/>
    </row>
    <row r="339" spans="1:9" ht="15.75" hidden="1" thickBot="1" x14ac:dyDescent="0.3">
      <c r="A339" s="112" t="s">
        <v>2517</v>
      </c>
      <c r="B339" s="112" t="s">
        <v>1953</v>
      </c>
      <c r="C339" s="115" t="s">
        <v>884</v>
      </c>
      <c r="D339" s="112">
        <v>2</v>
      </c>
      <c r="E339" s="112" t="s">
        <v>1915</v>
      </c>
      <c r="F339" s="113"/>
      <c r="G339" s="112"/>
      <c r="H339" s="112"/>
      <c r="I339" s="113" t="s">
        <v>2518</v>
      </c>
    </row>
    <row r="340" spans="1:9" ht="15.75" hidden="1" thickBot="1" x14ac:dyDescent="0.3">
      <c r="A340" s="111" t="s">
        <v>2519</v>
      </c>
      <c r="B340" s="109" t="s">
        <v>1953</v>
      </c>
      <c r="C340" s="115" t="s">
        <v>884</v>
      </c>
      <c r="D340" s="109">
        <v>2</v>
      </c>
      <c r="E340" s="109" t="s">
        <v>1915</v>
      </c>
      <c r="F340" s="114"/>
      <c r="G340" s="109"/>
      <c r="H340" s="109"/>
      <c r="I340" s="109"/>
    </row>
    <row r="341" spans="1:9" ht="15.75" hidden="1" thickBot="1" x14ac:dyDescent="0.3">
      <c r="A341" s="111" t="s">
        <v>2520</v>
      </c>
      <c r="B341" s="112" t="s">
        <v>1953</v>
      </c>
      <c r="C341" s="115" t="s">
        <v>884</v>
      </c>
      <c r="D341" s="112">
        <v>2</v>
      </c>
      <c r="E341" s="112" t="s">
        <v>1915</v>
      </c>
      <c r="F341" s="113"/>
      <c r="G341" s="112"/>
      <c r="H341" s="112"/>
      <c r="I341" s="113"/>
    </row>
    <row r="342" spans="1:9" ht="15.75" hidden="1" thickBot="1" x14ac:dyDescent="0.3">
      <c r="A342" s="111" t="s">
        <v>2521</v>
      </c>
      <c r="B342" s="109" t="s">
        <v>1953</v>
      </c>
      <c r="C342" s="115" t="s">
        <v>884</v>
      </c>
      <c r="D342" s="109">
        <v>2</v>
      </c>
      <c r="E342" s="109" t="s">
        <v>1915</v>
      </c>
      <c r="F342" s="114"/>
      <c r="G342" s="109"/>
      <c r="H342" s="109"/>
      <c r="I342" s="109"/>
    </row>
    <row r="343" spans="1:9" ht="15.75" hidden="1" thickBot="1" x14ac:dyDescent="0.3">
      <c r="A343" s="112" t="s">
        <v>2522</v>
      </c>
      <c r="B343" s="112" t="s">
        <v>1953</v>
      </c>
      <c r="C343" s="115" t="s">
        <v>884</v>
      </c>
      <c r="D343" s="112">
        <v>2</v>
      </c>
      <c r="E343" s="112" t="s">
        <v>1915</v>
      </c>
      <c r="F343" s="113"/>
      <c r="G343" s="112"/>
      <c r="H343" s="112"/>
      <c r="I343" s="113" t="s">
        <v>2523</v>
      </c>
    </row>
    <row r="344" spans="1:9" ht="15.75" hidden="1" thickBot="1" x14ac:dyDescent="0.3">
      <c r="A344" s="109" t="s">
        <v>2524</v>
      </c>
      <c r="B344" s="109" t="s">
        <v>1953</v>
      </c>
      <c r="C344" s="115" t="s">
        <v>884</v>
      </c>
      <c r="D344" s="109">
        <v>2</v>
      </c>
      <c r="E344" s="109" t="s">
        <v>1915</v>
      </c>
      <c r="F344" s="114"/>
      <c r="G344" s="109"/>
      <c r="H344" s="109"/>
      <c r="I344" s="109" t="s">
        <v>2525</v>
      </c>
    </row>
    <row r="345" spans="1:9" ht="15.75" hidden="1" thickBot="1" x14ac:dyDescent="0.3">
      <c r="A345" s="111" t="s">
        <v>2526</v>
      </c>
      <c r="B345" s="112" t="s">
        <v>1953</v>
      </c>
      <c r="C345" s="115" t="s">
        <v>884</v>
      </c>
      <c r="D345" s="112">
        <v>2</v>
      </c>
      <c r="E345" s="112" t="s">
        <v>1915</v>
      </c>
      <c r="F345" s="113"/>
      <c r="G345" s="112"/>
      <c r="H345" s="112"/>
      <c r="I345" s="113"/>
    </row>
    <row r="346" spans="1:9" ht="15.75" hidden="1" thickBot="1" x14ac:dyDescent="0.3">
      <c r="A346" s="111" t="s">
        <v>2527</v>
      </c>
      <c r="B346" s="109" t="s">
        <v>1953</v>
      </c>
      <c r="C346" s="115" t="s">
        <v>884</v>
      </c>
      <c r="D346" s="109">
        <v>2</v>
      </c>
      <c r="E346" s="109" t="s">
        <v>1915</v>
      </c>
      <c r="F346" s="114"/>
      <c r="G346" s="109"/>
      <c r="H346" s="109"/>
      <c r="I346" s="109"/>
    </row>
    <row r="347" spans="1:9" ht="15.75" hidden="1" thickBot="1" x14ac:dyDescent="0.3">
      <c r="A347" s="111" t="s">
        <v>2528</v>
      </c>
      <c r="B347" s="112" t="s">
        <v>1953</v>
      </c>
      <c r="C347" s="115" t="s">
        <v>884</v>
      </c>
      <c r="D347" s="112">
        <v>2</v>
      </c>
      <c r="E347" s="112" t="s">
        <v>1915</v>
      </c>
      <c r="F347" s="113"/>
      <c r="G347" s="112"/>
      <c r="H347" s="112"/>
      <c r="I347" s="113"/>
    </row>
    <row r="348" spans="1:9" ht="15.75" hidden="1" thickBot="1" x14ac:dyDescent="0.3">
      <c r="A348" s="109" t="s">
        <v>2529</v>
      </c>
      <c r="B348" s="109" t="s">
        <v>1953</v>
      </c>
      <c r="C348" s="115" t="s">
        <v>884</v>
      </c>
      <c r="D348" s="109">
        <v>2</v>
      </c>
      <c r="E348" s="109" t="s">
        <v>1915</v>
      </c>
      <c r="F348" s="114"/>
      <c r="G348" s="109"/>
      <c r="H348" s="109"/>
      <c r="I348" s="109" t="s">
        <v>2530</v>
      </c>
    </row>
    <row r="349" spans="1:9" ht="15.75" hidden="1" thickBot="1" x14ac:dyDescent="0.3">
      <c r="A349" s="111" t="s">
        <v>2531</v>
      </c>
      <c r="B349" s="112" t="s">
        <v>1953</v>
      </c>
      <c r="C349" s="115" t="s">
        <v>884</v>
      </c>
      <c r="D349" s="112">
        <v>2</v>
      </c>
      <c r="E349" s="112" t="s">
        <v>1915</v>
      </c>
      <c r="F349" s="113"/>
      <c r="G349" s="112"/>
      <c r="H349" s="112"/>
      <c r="I349" s="113"/>
    </row>
    <row r="350" spans="1:9" ht="15.75" hidden="1" thickBot="1" x14ac:dyDescent="0.3">
      <c r="A350" s="111" t="s">
        <v>2532</v>
      </c>
      <c r="B350" s="109" t="s">
        <v>1953</v>
      </c>
      <c r="C350" s="115" t="s">
        <v>884</v>
      </c>
      <c r="D350" s="109">
        <v>2</v>
      </c>
      <c r="E350" s="109" t="s">
        <v>1915</v>
      </c>
      <c r="F350" s="114"/>
      <c r="G350" s="109"/>
      <c r="H350" s="109"/>
      <c r="I350" s="109"/>
    </row>
    <row r="351" spans="1:9" ht="15.75" hidden="1" thickBot="1" x14ac:dyDescent="0.3">
      <c r="A351" s="111" t="s">
        <v>2533</v>
      </c>
      <c r="B351" s="112" t="s">
        <v>1953</v>
      </c>
      <c r="C351" s="115" t="s">
        <v>884</v>
      </c>
      <c r="D351" s="112">
        <v>2</v>
      </c>
      <c r="E351" s="112" t="s">
        <v>1915</v>
      </c>
      <c r="F351" s="113"/>
      <c r="G351" s="112"/>
      <c r="H351" s="112"/>
      <c r="I351" s="113"/>
    </row>
    <row r="352" spans="1:9" ht="15.75" hidden="1" thickBot="1" x14ac:dyDescent="0.3">
      <c r="A352" s="109" t="s">
        <v>2534</v>
      </c>
      <c r="B352" s="109" t="s">
        <v>1953</v>
      </c>
      <c r="C352" s="115" t="s">
        <v>884</v>
      </c>
      <c r="D352" s="109">
        <v>2</v>
      </c>
      <c r="E352" s="109" t="s">
        <v>1915</v>
      </c>
      <c r="F352" s="114"/>
      <c r="G352" s="109"/>
      <c r="H352" s="109"/>
      <c r="I352" s="109" t="s">
        <v>2535</v>
      </c>
    </row>
    <row r="353" spans="1:9" ht="15.75" hidden="1" thickBot="1" x14ac:dyDescent="0.3">
      <c r="A353" s="111" t="s">
        <v>2536</v>
      </c>
      <c r="B353" s="112" t="s">
        <v>1953</v>
      </c>
      <c r="C353" s="115" t="s">
        <v>884</v>
      </c>
      <c r="D353" s="112">
        <v>2</v>
      </c>
      <c r="E353" s="112" t="s">
        <v>1915</v>
      </c>
      <c r="F353" s="113"/>
      <c r="G353" s="112"/>
      <c r="H353" s="112"/>
      <c r="I353" s="113"/>
    </row>
    <row r="354" spans="1:9" ht="15.75" hidden="1" thickBot="1" x14ac:dyDescent="0.3">
      <c r="A354" s="111" t="s">
        <v>2537</v>
      </c>
      <c r="B354" s="109" t="s">
        <v>1953</v>
      </c>
      <c r="C354" s="115" t="s">
        <v>884</v>
      </c>
      <c r="D354" s="109">
        <v>2</v>
      </c>
      <c r="E354" s="109" t="s">
        <v>1915</v>
      </c>
      <c r="F354" s="114"/>
      <c r="G354" s="109"/>
      <c r="H354" s="109"/>
      <c r="I354" s="109"/>
    </row>
    <row r="355" spans="1:9" ht="15.75" hidden="1" thickBot="1" x14ac:dyDescent="0.3">
      <c r="A355" s="111" t="s">
        <v>2538</v>
      </c>
      <c r="B355" s="112" t="s">
        <v>1953</v>
      </c>
      <c r="C355" s="115" t="s">
        <v>884</v>
      </c>
      <c r="D355" s="112">
        <v>2</v>
      </c>
      <c r="E355" s="112" t="s">
        <v>1915</v>
      </c>
      <c r="F355" s="113"/>
      <c r="G355" s="112"/>
      <c r="H355" s="112"/>
      <c r="I355" s="113"/>
    </row>
    <row r="356" spans="1:9" ht="15.75" hidden="1" thickBot="1" x14ac:dyDescent="0.3">
      <c r="A356" s="111" t="s">
        <v>2539</v>
      </c>
      <c r="B356" s="109" t="s">
        <v>1953</v>
      </c>
      <c r="C356" s="115" t="s">
        <v>884</v>
      </c>
      <c r="D356" s="109">
        <v>2</v>
      </c>
      <c r="E356" s="109" t="s">
        <v>1915</v>
      </c>
      <c r="F356" s="114"/>
      <c r="G356" s="109"/>
      <c r="H356" s="109"/>
      <c r="I356" s="109"/>
    </row>
    <row r="357" spans="1:9" ht="15.75" hidden="1" thickBot="1" x14ac:dyDescent="0.3">
      <c r="A357" s="111" t="s">
        <v>2540</v>
      </c>
      <c r="B357" s="112" t="s">
        <v>1953</v>
      </c>
      <c r="C357" s="115" t="s">
        <v>884</v>
      </c>
      <c r="D357" s="112">
        <v>2</v>
      </c>
      <c r="E357" s="112" t="s">
        <v>1915</v>
      </c>
      <c r="F357" s="113"/>
      <c r="G357" s="112"/>
      <c r="H357" s="112"/>
      <c r="I357" s="113"/>
    </row>
    <row r="358" spans="1:9" ht="15.75" hidden="1" thickBot="1" x14ac:dyDescent="0.3">
      <c r="A358" s="111" t="s">
        <v>2541</v>
      </c>
      <c r="B358" s="109" t="s">
        <v>1953</v>
      </c>
      <c r="C358" s="115" t="s">
        <v>884</v>
      </c>
      <c r="D358" s="109">
        <v>2</v>
      </c>
      <c r="E358" s="109" t="s">
        <v>1915</v>
      </c>
      <c r="F358" s="114"/>
      <c r="G358" s="109"/>
      <c r="H358" s="109"/>
      <c r="I358" s="109"/>
    </row>
    <row r="359" spans="1:9" ht="15.75" hidden="1" thickBot="1" x14ac:dyDescent="0.3">
      <c r="A359" s="112" t="s">
        <v>2542</v>
      </c>
      <c r="B359" s="112" t="s">
        <v>1953</v>
      </c>
      <c r="C359" s="115" t="s">
        <v>884</v>
      </c>
      <c r="D359" s="112">
        <v>2</v>
      </c>
      <c r="E359" s="112" t="s">
        <v>1915</v>
      </c>
      <c r="F359" s="113"/>
      <c r="G359" s="112"/>
      <c r="H359" s="112"/>
      <c r="I359" s="113" t="s">
        <v>2543</v>
      </c>
    </row>
    <row r="360" spans="1:9" ht="15.75" hidden="1" thickBot="1" x14ac:dyDescent="0.3">
      <c r="A360" s="111" t="s">
        <v>2544</v>
      </c>
      <c r="B360" s="109" t="s">
        <v>1953</v>
      </c>
      <c r="C360" s="115" t="s">
        <v>884</v>
      </c>
      <c r="D360" s="109">
        <v>2</v>
      </c>
      <c r="E360" s="109" t="s">
        <v>1915</v>
      </c>
      <c r="F360" s="114"/>
      <c r="G360" s="109"/>
      <c r="H360" s="109"/>
      <c r="I360" s="109"/>
    </row>
    <row r="361" spans="1:9" ht="15.75" hidden="1" thickBot="1" x14ac:dyDescent="0.3">
      <c r="A361" s="111" t="s">
        <v>2545</v>
      </c>
      <c r="B361" s="112" t="s">
        <v>1953</v>
      </c>
      <c r="C361" s="115" t="s">
        <v>884</v>
      </c>
      <c r="D361" s="112">
        <v>2</v>
      </c>
      <c r="E361" s="112" t="s">
        <v>1915</v>
      </c>
      <c r="F361" s="113"/>
      <c r="G361" s="112"/>
      <c r="H361" s="112"/>
      <c r="I361" s="113"/>
    </row>
    <row r="362" spans="1:9" ht="15.75" hidden="1" thickBot="1" x14ac:dyDescent="0.3">
      <c r="A362" s="109" t="s">
        <v>2546</v>
      </c>
      <c r="B362" s="109" t="s">
        <v>1953</v>
      </c>
      <c r="C362" s="115" t="s">
        <v>884</v>
      </c>
      <c r="D362" s="109">
        <v>2</v>
      </c>
      <c r="E362" s="109" t="s">
        <v>1915</v>
      </c>
      <c r="F362" s="114"/>
      <c r="G362" s="109"/>
      <c r="H362" s="109"/>
      <c r="I362" s="109" t="s">
        <v>2547</v>
      </c>
    </row>
    <row r="363" spans="1:9" ht="15.75" hidden="1" thickBot="1" x14ac:dyDescent="0.3">
      <c r="A363" s="112" t="s">
        <v>2548</v>
      </c>
      <c r="B363" s="112" t="s">
        <v>1953</v>
      </c>
      <c r="C363" s="115" t="s">
        <v>884</v>
      </c>
      <c r="D363" s="112">
        <v>2</v>
      </c>
      <c r="E363" s="112" t="s">
        <v>1915</v>
      </c>
      <c r="F363" s="113"/>
      <c r="G363" s="112"/>
      <c r="H363" s="112"/>
      <c r="I363" s="113" t="s">
        <v>2549</v>
      </c>
    </row>
    <row r="364" spans="1:9" ht="15.75" hidden="1" thickBot="1" x14ac:dyDescent="0.3">
      <c r="A364" s="111" t="s">
        <v>2550</v>
      </c>
      <c r="B364" s="109" t="s">
        <v>1895</v>
      </c>
      <c r="C364" s="115" t="s">
        <v>884</v>
      </c>
      <c r="D364" s="109">
        <v>2</v>
      </c>
      <c r="E364" s="109"/>
      <c r="F364" s="114"/>
      <c r="G364" s="109" t="s">
        <v>2551</v>
      </c>
      <c r="H364" s="109"/>
      <c r="I364" s="109"/>
    </row>
    <row r="365" spans="1:9" ht="26.25" hidden="1" thickBot="1" x14ac:dyDescent="0.3">
      <c r="A365" s="112" t="s">
        <v>899</v>
      </c>
      <c r="B365" s="112" t="s">
        <v>1895</v>
      </c>
      <c r="C365" s="115" t="s">
        <v>884</v>
      </c>
      <c r="D365" s="112">
        <v>2</v>
      </c>
      <c r="E365" s="112"/>
      <c r="F365" s="113"/>
      <c r="G365" s="112" t="s">
        <v>2497</v>
      </c>
      <c r="H365" s="112" t="s">
        <v>2552</v>
      </c>
      <c r="I365" s="113" t="s">
        <v>2553</v>
      </c>
    </row>
    <row r="366" spans="1:9" ht="90" hidden="1" thickBot="1" x14ac:dyDescent="0.3">
      <c r="A366" s="109" t="s">
        <v>903</v>
      </c>
      <c r="B366" s="109" t="s">
        <v>1895</v>
      </c>
      <c r="C366" s="115" t="s">
        <v>884</v>
      </c>
      <c r="D366" s="109">
        <v>2</v>
      </c>
      <c r="E366" s="109" t="s">
        <v>1915</v>
      </c>
      <c r="F366" s="114"/>
      <c r="G366" s="109" t="s">
        <v>2554</v>
      </c>
      <c r="H366" s="109" t="s">
        <v>2555</v>
      </c>
      <c r="I366" s="109" t="s">
        <v>2556</v>
      </c>
    </row>
    <row r="367" spans="1:9" ht="15.75" hidden="1" thickBot="1" x14ac:dyDescent="0.3">
      <c r="A367" s="112" t="s">
        <v>2557</v>
      </c>
      <c r="B367" s="112" t="s">
        <v>1895</v>
      </c>
      <c r="C367" s="115" t="s">
        <v>884</v>
      </c>
      <c r="D367" s="112">
        <v>2</v>
      </c>
      <c r="E367" s="112" t="s">
        <v>1915</v>
      </c>
      <c r="F367" s="113"/>
      <c r="G367" s="112" t="s">
        <v>2440</v>
      </c>
      <c r="H367" s="112" t="s">
        <v>58</v>
      </c>
      <c r="I367" s="113" t="s">
        <v>2558</v>
      </c>
    </row>
    <row r="368" spans="1:9" ht="64.5" thickBot="1" x14ac:dyDescent="0.3">
      <c r="A368" s="109" t="s">
        <v>2559</v>
      </c>
      <c r="B368" s="109" t="s">
        <v>1890</v>
      </c>
      <c r="C368" s="121" t="s">
        <v>593</v>
      </c>
      <c r="D368" s="109">
        <v>3</v>
      </c>
      <c r="E368" s="109"/>
      <c r="F368" s="114"/>
      <c r="G368" s="109"/>
      <c r="H368" s="109" t="s">
        <v>2560</v>
      </c>
      <c r="I368" s="109" t="s">
        <v>2561</v>
      </c>
    </row>
    <row r="369" spans="1:9" ht="26.25" thickBot="1" x14ac:dyDescent="0.3">
      <c r="A369" s="112" t="s">
        <v>2562</v>
      </c>
      <c r="B369" s="112" t="s">
        <v>1890</v>
      </c>
      <c r="C369" s="121" t="s">
        <v>593</v>
      </c>
      <c r="D369" s="112">
        <v>3</v>
      </c>
      <c r="E369" s="112"/>
      <c r="F369" s="113"/>
      <c r="G369" s="112"/>
      <c r="H369" s="112" t="s">
        <v>2563</v>
      </c>
      <c r="I369" s="113" t="s">
        <v>2564</v>
      </c>
    </row>
    <row r="370" spans="1:9" ht="15.75" hidden="1" thickBot="1" x14ac:dyDescent="0.3">
      <c r="A370" s="111" t="s">
        <v>2565</v>
      </c>
      <c r="B370" s="109" t="s">
        <v>1890</v>
      </c>
      <c r="C370" s="121" t="s">
        <v>593</v>
      </c>
      <c r="D370" s="109">
        <v>3</v>
      </c>
      <c r="E370" s="109"/>
      <c r="F370" s="114"/>
      <c r="G370" s="109"/>
      <c r="H370" s="109"/>
      <c r="I370" s="109"/>
    </row>
    <row r="371" spans="1:9" ht="26.25" thickBot="1" x14ac:dyDescent="0.3">
      <c r="A371" s="112" t="s">
        <v>2566</v>
      </c>
      <c r="B371" s="112" t="s">
        <v>1890</v>
      </c>
      <c r="C371" s="121" t="s">
        <v>593</v>
      </c>
      <c r="D371" s="112">
        <v>3</v>
      </c>
      <c r="E371" s="112"/>
      <c r="F371" s="113"/>
      <c r="G371" s="112"/>
      <c r="H371" s="112" t="s">
        <v>2567</v>
      </c>
      <c r="I371" s="113" t="s">
        <v>2568</v>
      </c>
    </row>
    <row r="372" spans="1:9" ht="15.75" hidden="1" thickBot="1" x14ac:dyDescent="0.3">
      <c r="A372" s="111" t="s">
        <v>2569</v>
      </c>
      <c r="B372" s="119" t="s">
        <v>1890</v>
      </c>
      <c r="C372" s="122" t="s">
        <v>593</v>
      </c>
      <c r="D372" s="119">
        <v>3</v>
      </c>
      <c r="E372" s="119"/>
      <c r="F372" s="120"/>
      <c r="G372" s="119"/>
      <c r="H372" s="119"/>
      <c r="I372" s="109"/>
    </row>
    <row r="373" spans="1:9" ht="64.5" thickBot="1" x14ac:dyDescent="0.3">
      <c r="A373" s="112" t="s">
        <v>2570</v>
      </c>
      <c r="B373" s="112" t="s">
        <v>1890</v>
      </c>
      <c r="C373" s="121" t="s">
        <v>593</v>
      </c>
      <c r="D373" s="112">
        <v>3</v>
      </c>
      <c r="E373" s="112"/>
      <c r="F373" s="113"/>
      <c r="G373" s="112"/>
      <c r="H373" s="112" t="s">
        <v>2571</v>
      </c>
      <c r="I373" s="113" t="s">
        <v>2572</v>
      </c>
    </row>
    <row r="374" spans="1:9" ht="15.75" hidden="1" thickBot="1" x14ac:dyDescent="0.3">
      <c r="A374" s="111" t="s">
        <v>2573</v>
      </c>
      <c r="B374" s="119" t="s">
        <v>1890</v>
      </c>
      <c r="C374" s="122" t="s">
        <v>593</v>
      </c>
      <c r="D374" s="119">
        <v>3</v>
      </c>
      <c r="E374" s="119"/>
      <c r="F374" s="120"/>
      <c r="G374" s="119"/>
      <c r="H374" s="119"/>
      <c r="I374" s="109"/>
    </row>
    <row r="375" spans="1:9" ht="77.25" thickBot="1" x14ac:dyDescent="0.3">
      <c r="A375" s="112" t="s">
        <v>2574</v>
      </c>
      <c r="B375" s="112" t="s">
        <v>1890</v>
      </c>
      <c r="C375" s="121" t="s">
        <v>593</v>
      </c>
      <c r="D375" s="112">
        <v>3</v>
      </c>
      <c r="E375" s="112"/>
      <c r="F375" s="113"/>
      <c r="G375" s="112"/>
      <c r="H375" s="112" t="s">
        <v>2575</v>
      </c>
      <c r="I375" s="113" t="s">
        <v>2576</v>
      </c>
    </row>
    <row r="376" spans="1:9" ht="15.75" hidden="1" thickBot="1" x14ac:dyDescent="0.3">
      <c r="A376" s="111" t="s">
        <v>2577</v>
      </c>
      <c r="B376" s="109" t="s">
        <v>1890</v>
      </c>
      <c r="C376" s="121" t="s">
        <v>593</v>
      </c>
      <c r="D376" s="109">
        <v>3</v>
      </c>
      <c r="E376" s="109"/>
      <c r="F376" s="114"/>
      <c r="G376" s="109"/>
      <c r="H376" s="109"/>
      <c r="I376" s="109"/>
    </row>
    <row r="377" spans="1:9" ht="26.25" thickBot="1" x14ac:dyDescent="0.3">
      <c r="A377" s="112" t="s">
        <v>2578</v>
      </c>
      <c r="B377" s="112" t="s">
        <v>1890</v>
      </c>
      <c r="C377" s="121" t="s">
        <v>593</v>
      </c>
      <c r="D377" s="112">
        <v>3</v>
      </c>
      <c r="E377" s="112"/>
      <c r="F377" s="113"/>
      <c r="G377" s="112"/>
      <c r="H377" s="112" t="s">
        <v>2579</v>
      </c>
      <c r="I377" s="113" t="s">
        <v>2580</v>
      </c>
    </row>
    <row r="378" spans="1:9" ht="15.75" thickBot="1" x14ac:dyDescent="0.3">
      <c r="A378" s="109" t="s">
        <v>2581</v>
      </c>
      <c r="B378" s="109" t="s">
        <v>1890</v>
      </c>
      <c r="C378" s="121" t="s">
        <v>593</v>
      </c>
      <c r="D378" s="109">
        <v>3</v>
      </c>
      <c r="E378" s="109"/>
      <c r="F378" s="114"/>
      <c r="G378" s="109"/>
      <c r="H378" s="109" t="s">
        <v>2582</v>
      </c>
      <c r="I378" s="109" t="s">
        <v>2583</v>
      </c>
    </row>
    <row r="379" spans="1:9" ht="26.25" thickBot="1" x14ac:dyDescent="0.3">
      <c r="A379" s="112" t="s">
        <v>2584</v>
      </c>
      <c r="B379" s="112" t="s">
        <v>1890</v>
      </c>
      <c r="C379" s="121" t="s">
        <v>593</v>
      </c>
      <c r="D379" s="112">
        <v>3</v>
      </c>
      <c r="E379" s="112"/>
      <c r="F379" s="113"/>
      <c r="G379" s="112"/>
      <c r="H379" s="112" t="s">
        <v>2585</v>
      </c>
      <c r="I379" s="113" t="s">
        <v>2586</v>
      </c>
    </row>
    <row r="380" spans="1:9" ht="15.75" hidden="1" thickBot="1" x14ac:dyDescent="0.3">
      <c r="A380" s="111" t="s">
        <v>2587</v>
      </c>
      <c r="B380" s="119" t="s">
        <v>1895</v>
      </c>
      <c r="C380" s="122" t="s">
        <v>593</v>
      </c>
      <c r="D380" s="109">
        <v>3</v>
      </c>
      <c r="E380" s="119" t="s">
        <v>1915</v>
      </c>
      <c r="F380" s="120" t="s">
        <v>2030</v>
      </c>
      <c r="G380" s="119" t="s">
        <v>1950</v>
      </c>
      <c r="H380" s="119"/>
      <c r="I380" s="109"/>
    </row>
    <row r="381" spans="1:9" ht="15.75" thickBot="1" x14ac:dyDescent="0.3">
      <c r="A381" s="112" t="s">
        <v>2588</v>
      </c>
      <c r="B381" s="112" t="s">
        <v>1895</v>
      </c>
      <c r="C381" s="121" t="s">
        <v>593</v>
      </c>
      <c r="D381" s="112">
        <v>3</v>
      </c>
      <c r="E381" s="112" t="s">
        <v>1915</v>
      </c>
      <c r="F381" s="113" t="s">
        <v>2033</v>
      </c>
      <c r="G381" s="112" t="s">
        <v>2589</v>
      </c>
      <c r="H381" s="112" t="s">
        <v>58</v>
      </c>
      <c r="I381" s="113" t="s">
        <v>2590</v>
      </c>
    </row>
    <row r="382" spans="1:9" ht="15.75" hidden="1" thickBot="1" x14ac:dyDescent="0.3">
      <c r="A382" s="111" t="s">
        <v>2591</v>
      </c>
      <c r="B382" s="119" t="s">
        <v>1895</v>
      </c>
      <c r="C382" s="122" t="s">
        <v>593</v>
      </c>
      <c r="D382" s="109">
        <v>3</v>
      </c>
      <c r="E382" s="119" t="s">
        <v>1915</v>
      </c>
      <c r="F382" s="120" t="s">
        <v>2035</v>
      </c>
      <c r="G382" s="119" t="s">
        <v>1950</v>
      </c>
      <c r="H382" s="120"/>
      <c r="I382" s="109"/>
    </row>
    <row r="383" spans="1:9" ht="15.75" hidden="1" thickBot="1" x14ac:dyDescent="0.3">
      <c r="A383" s="111" t="s">
        <v>2592</v>
      </c>
      <c r="B383" s="116" t="s">
        <v>1895</v>
      </c>
      <c r="C383" s="122" t="s">
        <v>593</v>
      </c>
      <c r="D383" s="112">
        <v>3</v>
      </c>
      <c r="E383" s="116" t="s">
        <v>1915</v>
      </c>
      <c r="F383" s="118" t="s">
        <v>2038</v>
      </c>
      <c r="G383" s="116" t="s">
        <v>1950</v>
      </c>
      <c r="H383" s="116"/>
      <c r="I383" s="113"/>
    </row>
    <row r="384" spans="1:9" ht="15.75" hidden="1" thickBot="1" x14ac:dyDescent="0.3">
      <c r="A384" s="111" t="s">
        <v>2593</v>
      </c>
      <c r="B384" s="109" t="s">
        <v>1895</v>
      </c>
      <c r="C384" s="121" t="s">
        <v>593</v>
      </c>
      <c r="D384" s="109">
        <v>3</v>
      </c>
      <c r="E384" s="109" t="s">
        <v>1915</v>
      </c>
      <c r="F384" s="109" t="s">
        <v>14</v>
      </c>
      <c r="G384" s="109" t="s">
        <v>2041</v>
      </c>
      <c r="H384" s="109" t="s">
        <v>58</v>
      </c>
      <c r="I384" s="109"/>
    </row>
    <row r="385" spans="1:9" ht="15.75" thickBot="1" x14ac:dyDescent="0.3">
      <c r="A385" s="112" t="s">
        <v>2594</v>
      </c>
      <c r="B385" s="112" t="s">
        <v>1895</v>
      </c>
      <c r="C385" s="121" t="s">
        <v>593</v>
      </c>
      <c r="D385" s="112">
        <v>3</v>
      </c>
      <c r="E385" s="112" t="s">
        <v>1915</v>
      </c>
      <c r="F385" s="113"/>
      <c r="G385" s="112" t="s">
        <v>1950</v>
      </c>
      <c r="H385" s="112"/>
      <c r="I385" s="113" t="s">
        <v>2595</v>
      </c>
    </row>
    <row r="386" spans="1:9" ht="15.75" thickBot="1" x14ac:dyDescent="0.3">
      <c r="A386" s="109" t="s">
        <v>2596</v>
      </c>
      <c r="B386" s="109" t="s">
        <v>1895</v>
      </c>
      <c r="C386" s="121" t="s">
        <v>593</v>
      </c>
      <c r="D386" s="109">
        <v>3</v>
      </c>
      <c r="E386" s="109" t="s">
        <v>1915</v>
      </c>
      <c r="F386" s="109" t="s">
        <v>2046</v>
      </c>
      <c r="G386" s="109" t="s">
        <v>1950</v>
      </c>
      <c r="H386" s="109"/>
      <c r="I386" s="109" t="s">
        <v>2597</v>
      </c>
    </row>
    <row r="387" spans="1:9" ht="26.25" thickBot="1" x14ac:dyDescent="0.3">
      <c r="A387" s="112" t="s">
        <v>2598</v>
      </c>
      <c r="B387" s="112" t="s">
        <v>2048</v>
      </c>
      <c r="C387" s="121" t="s">
        <v>593</v>
      </c>
      <c r="D387" s="112">
        <v>3</v>
      </c>
      <c r="E387" s="112" t="s">
        <v>1915</v>
      </c>
      <c r="F387" s="113" t="s">
        <v>2049</v>
      </c>
      <c r="G387" s="112" t="s">
        <v>2050</v>
      </c>
      <c r="H387" s="112" t="s">
        <v>2599</v>
      </c>
      <c r="I387" s="113" t="s">
        <v>2600</v>
      </c>
    </row>
    <row r="388" spans="1:9" ht="39" thickBot="1" x14ac:dyDescent="0.3">
      <c r="A388" s="109" t="s">
        <v>2601</v>
      </c>
      <c r="B388" s="109" t="s">
        <v>1890</v>
      </c>
      <c r="C388" s="121" t="s">
        <v>593</v>
      </c>
      <c r="D388" s="109">
        <v>3</v>
      </c>
      <c r="E388" s="109"/>
      <c r="F388" s="109" t="s">
        <v>1982</v>
      </c>
      <c r="G388" s="109" t="s">
        <v>2054</v>
      </c>
      <c r="H388" s="109" t="s">
        <v>2602</v>
      </c>
      <c r="I388" s="109" t="s">
        <v>2603</v>
      </c>
    </row>
    <row r="389" spans="1:9" ht="15.75" thickBot="1" x14ac:dyDescent="0.3">
      <c r="A389" s="112" t="s">
        <v>2604</v>
      </c>
      <c r="B389" s="112" t="s">
        <v>2023</v>
      </c>
      <c r="C389" s="121" t="s">
        <v>593</v>
      </c>
      <c r="D389" s="112">
        <v>3</v>
      </c>
      <c r="E389" s="112" t="s">
        <v>1915</v>
      </c>
      <c r="F389" s="113" t="s">
        <v>1978</v>
      </c>
      <c r="G389" s="112" t="s">
        <v>2058</v>
      </c>
      <c r="H389" s="112" t="s">
        <v>2605</v>
      </c>
      <c r="I389" s="113" t="s">
        <v>2606</v>
      </c>
    </row>
    <row r="390" spans="1:9" ht="15.75" hidden="1" thickBot="1" x14ac:dyDescent="0.3">
      <c r="A390" s="111" t="s">
        <v>2607</v>
      </c>
      <c r="B390" s="109" t="s">
        <v>1953</v>
      </c>
      <c r="C390" s="121" t="s">
        <v>593</v>
      </c>
      <c r="D390" s="109">
        <v>3</v>
      </c>
      <c r="E390" s="109"/>
      <c r="F390" s="109"/>
      <c r="G390" s="109"/>
      <c r="H390" s="109"/>
      <c r="I390" s="109"/>
    </row>
    <row r="391" spans="1:9" ht="15.75" hidden="1" thickBot="1" x14ac:dyDescent="0.3">
      <c r="A391" s="111" t="s">
        <v>2608</v>
      </c>
      <c r="B391" s="112" t="s">
        <v>1953</v>
      </c>
      <c r="C391" s="121" t="s">
        <v>593</v>
      </c>
      <c r="D391" s="112">
        <v>3</v>
      </c>
      <c r="E391" s="112"/>
      <c r="F391" s="113"/>
      <c r="G391" s="112"/>
      <c r="H391" s="112"/>
      <c r="I391" s="113"/>
    </row>
    <row r="392" spans="1:9" ht="15.75" hidden="1" thickBot="1" x14ac:dyDescent="0.3">
      <c r="A392" s="111" t="s">
        <v>2609</v>
      </c>
      <c r="B392" s="109" t="s">
        <v>1953</v>
      </c>
      <c r="C392" s="121" t="s">
        <v>593</v>
      </c>
      <c r="D392" s="109">
        <v>3</v>
      </c>
      <c r="E392" s="109"/>
      <c r="F392" s="109"/>
      <c r="G392" s="109"/>
      <c r="H392" s="109"/>
      <c r="I392" s="109"/>
    </row>
    <row r="393" spans="1:9" ht="26.25" thickBot="1" x14ac:dyDescent="0.3">
      <c r="A393" s="112" t="s">
        <v>2610</v>
      </c>
      <c r="B393" s="112" t="s">
        <v>1953</v>
      </c>
      <c r="C393" s="121" t="s">
        <v>593</v>
      </c>
      <c r="D393" s="112">
        <v>3</v>
      </c>
      <c r="E393" s="112"/>
      <c r="F393" s="113"/>
      <c r="G393" s="112"/>
      <c r="H393" s="112"/>
      <c r="I393" s="113" t="s">
        <v>2611</v>
      </c>
    </row>
    <row r="394" spans="1:9" ht="15.75" hidden="1" thickBot="1" x14ac:dyDescent="0.3">
      <c r="A394" s="111" t="s">
        <v>2612</v>
      </c>
      <c r="B394" s="119" t="s">
        <v>1953</v>
      </c>
      <c r="C394" s="121" t="s">
        <v>593</v>
      </c>
      <c r="D394" s="119">
        <v>3</v>
      </c>
      <c r="E394" s="109"/>
      <c r="F394" s="109"/>
      <c r="G394" s="109"/>
      <c r="H394" s="109"/>
      <c r="I394" s="109"/>
    </row>
    <row r="395" spans="1:9" ht="15.75" hidden="1" thickBot="1" x14ac:dyDescent="0.3">
      <c r="A395" s="111" t="s">
        <v>2613</v>
      </c>
      <c r="B395" s="112" t="s">
        <v>1953</v>
      </c>
      <c r="C395" s="121" t="s">
        <v>593</v>
      </c>
      <c r="D395" s="112">
        <v>3</v>
      </c>
      <c r="E395" s="112"/>
      <c r="F395" s="113"/>
      <c r="G395" s="112"/>
      <c r="H395" s="112"/>
      <c r="I395" s="113"/>
    </row>
    <row r="396" spans="1:9" ht="15.75" hidden="1" thickBot="1" x14ac:dyDescent="0.3">
      <c r="A396" s="111" t="s">
        <v>2614</v>
      </c>
      <c r="B396" s="109" t="s">
        <v>1953</v>
      </c>
      <c r="C396" s="121" t="s">
        <v>593</v>
      </c>
      <c r="D396" s="109">
        <v>3</v>
      </c>
      <c r="E396" s="109"/>
      <c r="F396" s="109"/>
      <c r="G396" s="109"/>
      <c r="H396" s="109"/>
      <c r="I396" s="109"/>
    </row>
    <row r="397" spans="1:9" ht="39" thickBot="1" x14ac:dyDescent="0.3">
      <c r="A397" s="112" t="s">
        <v>2615</v>
      </c>
      <c r="B397" s="112" t="s">
        <v>1953</v>
      </c>
      <c r="C397" s="121" t="s">
        <v>593</v>
      </c>
      <c r="D397" s="112">
        <v>3</v>
      </c>
      <c r="E397" s="112"/>
      <c r="F397" s="113"/>
      <c r="G397" s="112"/>
      <c r="H397" s="112"/>
      <c r="I397" s="113" t="s">
        <v>2616</v>
      </c>
    </row>
    <row r="398" spans="1:9" ht="15.75" hidden="1" thickBot="1" x14ac:dyDescent="0.3">
      <c r="A398" s="111" t="s">
        <v>2617</v>
      </c>
      <c r="B398" s="109" t="s">
        <v>1953</v>
      </c>
      <c r="C398" s="121" t="s">
        <v>593</v>
      </c>
      <c r="D398" s="109">
        <v>3</v>
      </c>
      <c r="E398" s="109"/>
      <c r="F398" s="109"/>
      <c r="G398" s="109"/>
      <c r="H398" s="109"/>
      <c r="I398" s="109"/>
    </row>
    <row r="399" spans="1:9" ht="39" thickBot="1" x14ac:dyDescent="0.3">
      <c r="A399" s="112" t="s">
        <v>2618</v>
      </c>
      <c r="B399" s="112" t="s">
        <v>1953</v>
      </c>
      <c r="C399" s="121" t="s">
        <v>593</v>
      </c>
      <c r="D399" s="112">
        <v>3</v>
      </c>
      <c r="E399" s="112"/>
      <c r="F399" s="113"/>
      <c r="G399" s="112"/>
      <c r="H399" s="112"/>
      <c r="I399" s="113" t="s">
        <v>2619</v>
      </c>
    </row>
    <row r="400" spans="1:9" ht="15.75" hidden="1" thickBot="1" x14ac:dyDescent="0.3">
      <c r="A400" s="111" t="s">
        <v>2620</v>
      </c>
      <c r="B400" s="109" t="s">
        <v>1953</v>
      </c>
      <c r="C400" s="121" t="s">
        <v>593</v>
      </c>
      <c r="D400" s="109">
        <v>3</v>
      </c>
      <c r="E400" s="109"/>
      <c r="F400" s="109"/>
      <c r="G400" s="109"/>
      <c r="H400" s="109"/>
      <c r="I400" s="109"/>
    </row>
    <row r="401" spans="1:9" ht="15.75" thickBot="1" x14ac:dyDescent="0.3">
      <c r="A401" s="112" t="s">
        <v>2621</v>
      </c>
      <c r="B401" s="112" t="s">
        <v>1953</v>
      </c>
      <c r="C401" s="121" t="s">
        <v>593</v>
      </c>
      <c r="D401" s="112">
        <v>3</v>
      </c>
      <c r="E401" s="112"/>
      <c r="F401" s="113"/>
      <c r="G401" s="112"/>
      <c r="H401" s="112"/>
      <c r="I401" s="113" t="s">
        <v>2622</v>
      </c>
    </row>
    <row r="402" spans="1:9" ht="15.75" hidden="1" thickBot="1" x14ac:dyDescent="0.3">
      <c r="A402" s="111" t="s">
        <v>2623</v>
      </c>
      <c r="B402" s="109" t="s">
        <v>1953</v>
      </c>
      <c r="C402" s="121" t="s">
        <v>593</v>
      </c>
      <c r="D402" s="109">
        <v>3</v>
      </c>
      <c r="E402" s="109"/>
      <c r="F402" s="109"/>
      <c r="G402" s="109"/>
      <c r="H402" s="109"/>
      <c r="I402" s="109"/>
    </row>
    <row r="403" spans="1:9" ht="15.75" hidden="1" thickBot="1" x14ac:dyDescent="0.3">
      <c r="A403" s="111" t="s">
        <v>2624</v>
      </c>
      <c r="B403" s="116" t="s">
        <v>1953</v>
      </c>
      <c r="C403" s="121" t="s">
        <v>593</v>
      </c>
      <c r="D403" s="116">
        <v>3</v>
      </c>
      <c r="E403" s="112"/>
      <c r="F403" s="113"/>
      <c r="G403" s="112"/>
      <c r="H403" s="112"/>
      <c r="I403" s="113"/>
    </row>
    <row r="404" spans="1:9" ht="15.75" hidden="1" thickBot="1" x14ac:dyDescent="0.3">
      <c r="A404" s="111" t="s">
        <v>2625</v>
      </c>
      <c r="B404" s="109" t="s">
        <v>1953</v>
      </c>
      <c r="C404" s="121" t="s">
        <v>593</v>
      </c>
      <c r="D404" s="109">
        <v>3</v>
      </c>
      <c r="E404" s="109"/>
      <c r="F404" s="109"/>
      <c r="G404" s="109"/>
      <c r="H404" s="109"/>
      <c r="I404" s="109"/>
    </row>
    <row r="405" spans="1:9" ht="15.75" hidden="1" thickBot="1" x14ac:dyDescent="0.3">
      <c r="A405" s="111" t="s">
        <v>2626</v>
      </c>
      <c r="B405" s="112" t="s">
        <v>1953</v>
      </c>
      <c r="C405" s="121" t="s">
        <v>593</v>
      </c>
      <c r="D405" s="112">
        <v>3</v>
      </c>
      <c r="E405" s="112"/>
      <c r="F405" s="113"/>
      <c r="G405" s="112"/>
      <c r="H405" s="112"/>
      <c r="I405" s="113"/>
    </row>
    <row r="406" spans="1:9" ht="15.75" hidden="1" thickBot="1" x14ac:dyDescent="0.3">
      <c r="A406" s="111" t="s">
        <v>2627</v>
      </c>
      <c r="B406" s="109" t="s">
        <v>1953</v>
      </c>
      <c r="C406" s="121" t="s">
        <v>593</v>
      </c>
      <c r="D406" s="109">
        <v>3</v>
      </c>
      <c r="E406" s="109"/>
      <c r="F406" s="109"/>
      <c r="G406" s="109"/>
      <c r="H406" s="109"/>
      <c r="I406" s="109"/>
    </row>
    <row r="407" spans="1:9" ht="15.75" hidden="1" thickBot="1" x14ac:dyDescent="0.3">
      <c r="A407" s="111" t="s">
        <v>2628</v>
      </c>
      <c r="B407" s="112" t="s">
        <v>1953</v>
      </c>
      <c r="C407" s="121" t="s">
        <v>593</v>
      </c>
      <c r="D407" s="112">
        <v>3</v>
      </c>
      <c r="E407" s="112"/>
      <c r="F407" s="113"/>
      <c r="G407" s="112"/>
      <c r="H407" s="112"/>
      <c r="I407" s="113"/>
    </row>
    <row r="408" spans="1:9" ht="39" thickBot="1" x14ac:dyDescent="0.3">
      <c r="A408" s="109" t="s">
        <v>2629</v>
      </c>
      <c r="B408" s="109" t="s">
        <v>1953</v>
      </c>
      <c r="C408" s="121" t="s">
        <v>593</v>
      </c>
      <c r="D408" s="109">
        <v>3</v>
      </c>
      <c r="E408" s="109"/>
      <c r="F408" s="109"/>
      <c r="G408" s="109"/>
      <c r="H408" s="109"/>
      <c r="I408" s="109" t="s">
        <v>2630</v>
      </c>
    </row>
    <row r="409" spans="1:9" ht="51.75" thickBot="1" x14ac:dyDescent="0.3">
      <c r="A409" s="112" t="s">
        <v>2631</v>
      </c>
      <c r="B409" s="112" t="s">
        <v>1953</v>
      </c>
      <c r="C409" s="121" t="s">
        <v>593</v>
      </c>
      <c r="D409" s="112">
        <v>3</v>
      </c>
      <c r="E409" s="112"/>
      <c r="F409" s="113"/>
      <c r="G409" s="112"/>
      <c r="H409" s="112"/>
      <c r="I409" s="113" t="s">
        <v>2632</v>
      </c>
    </row>
    <row r="410" spans="1:9" ht="26.25" thickBot="1" x14ac:dyDescent="0.3">
      <c r="A410" s="109" t="s">
        <v>2633</v>
      </c>
      <c r="B410" s="109" t="s">
        <v>1953</v>
      </c>
      <c r="C410" s="121" t="s">
        <v>593</v>
      </c>
      <c r="D410" s="109">
        <v>3</v>
      </c>
      <c r="E410" s="109"/>
      <c r="F410" s="109"/>
      <c r="G410" s="109"/>
      <c r="H410" s="109"/>
      <c r="I410" s="109" t="s">
        <v>2634</v>
      </c>
    </row>
    <row r="411" spans="1:9" ht="15.75" thickBot="1" x14ac:dyDescent="0.3">
      <c r="A411" s="112" t="s">
        <v>2635</v>
      </c>
      <c r="B411" s="112" t="s">
        <v>1953</v>
      </c>
      <c r="C411" s="121" t="s">
        <v>593</v>
      </c>
      <c r="D411" s="112">
        <v>3</v>
      </c>
      <c r="E411" s="112"/>
      <c r="F411" s="113"/>
      <c r="G411" s="112"/>
      <c r="H411" s="112"/>
      <c r="I411" s="113" t="s">
        <v>2636</v>
      </c>
    </row>
    <row r="412" spans="1:9" ht="15.75" thickBot="1" x14ac:dyDescent="0.3">
      <c r="A412" s="109" t="s">
        <v>2637</v>
      </c>
      <c r="B412" s="109" t="s">
        <v>1953</v>
      </c>
      <c r="C412" s="121" t="s">
        <v>593</v>
      </c>
      <c r="D412" s="109">
        <v>3</v>
      </c>
      <c r="E412" s="109"/>
      <c r="F412" s="109"/>
      <c r="G412" s="109"/>
      <c r="H412" s="109"/>
      <c r="I412" s="109" t="s">
        <v>2638</v>
      </c>
    </row>
    <row r="413" spans="1:9" ht="15.75" hidden="1" thickBot="1" x14ac:dyDescent="0.3">
      <c r="A413" s="111" t="s">
        <v>2639</v>
      </c>
      <c r="B413" s="112" t="s">
        <v>1953</v>
      </c>
      <c r="C413" s="121" t="s">
        <v>593</v>
      </c>
      <c r="D413" s="112">
        <v>3</v>
      </c>
      <c r="E413" s="112"/>
      <c r="F413" s="113"/>
      <c r="G413" s="112"/>
      <c r="H413" s="112"/>
      <c r="I413" s="113"/>
    </row>
    <row r="414" spans="1:9" ht="15.75" hidden="1" thickBot="1" x14ac:dyDescent="0.3">
      <c r="A414" s="111" t="s">
        <v>2640</v>
      </c>
      <c r="B414" s="109" t="s">
        <v>1953</v>
      </c>
      <c r="C414" s="121" t="s">
        <v>593</v>
      </c>
      <c r="D414" s="109">
        <v>3</v>
      </c>
      <c r="E414" s="109"/>
      <c r="F414" s="109"/>
      <c r="G414" s="109"/>
      <c r="H414" s="109"/>
      <c r="I414" s="109"/>
    </row>
    <row r="415" spans="1:9" ht="15.75" thickBot="1" x14ac:dyDescent="0.3">
      <c r="A415" s="112" t="s">
        <v>2641</v>
      </c>
      <c r="B415" s="112" t="s">
        <v>1953</v>
      </c>
      <c r="C415" s="121" t="s">
        <v>593</v>
      </c>
      <c r="D415" s="112">
        <v>3</v>
      </c>
      <c r="E415" s="112"/>
      <c r="F415" s="113"/>
      <c r="G415" s="112"/>
      <c r="H415" s="112"/>
      <c r="I415" s="113" t="s">
        <v>2642</v>
      </c>
    </row>
    <row r="416" spans="1:9" ht="15.75" hidden="1" thickBot="1" x14ac:dyDescent="0.3">
      <c r="A416" s="111" t="s">
        <v>2643</v>
      </c>
      <c r="B416" s="109" t="s">
        <v>1953</v>
      </c>
      <c r="C416" s="121" t="s">
        <v>593</v>
      </c>
      <c r="D416" s="109">
        <v>3</v>
      </c>
      <c r="E416" s="109"/>
      <c r="F416" s="109"/>
      <c r="G416" s="109"/>
      <c r="H416" s="109"/>
      <c r="I416" s="109"/>
    </row>
    <row r="417" spans="1:9" ht="15.75" hidden="1" thickBot="1" x14ac:dyDescent="0.3">
      <c r="A417" s="111" t="s">
        <v>2644</v>
      </c>
      <c r="B417" s="112" t="s">
        <v>1953</v>
      </c>
      <c r="C417" s="121" t="s">
        <v>593</v>
      </c>
      <c r="D417" s="112">
        <v>3</v>
      </c>
      <c r="E417" s="112"/>
      <c r="F417" s="113"/>
      <c r="G417" s="112"/>
      <c r="H417" s="112"/>
      <c r="I417" s="113"/>
    </row>
    <row r="418" spans="1:9" ht="39" thickBot="1" x14ac:dyDescent="0.3">
      <c r="A418" s="109" t="s">
        <v>2645</v>
      </c>
      <c r="B418" s="109" t="s">
        <v>1953</v>
      </c>
      <c r="C418" s="121" t="s">
        <v>593</v>
      </c>
      <c r="D418" s="109">
        <v>3</v>
      </c>
      <c r="E418" s="109"/>
      <c r="F418" s="109"/>
      <c r="G418" s="109"/>
      <c r="H418" s="109"/>
      <c r="I418" s="109" t="s">
        <v>2646</v>
      </c>
    </row>
    <row r="419" spans="1:9" ht="15.75" hidden="1" thickBot="1" x14ac:dyDescent="0.3">
      <c r="A419" s="111" t="s">
        <v>2647</v>
      </c>
      <c r="B419" s="112" t="s">
        <v>1953</v>
      </c>
      <c r="C419" s="121" t="s">
        <v>593</v>
      </c>
      <c r="D419" s="112">
        <v>3</v>
      </c>
      <c r="E419" s="112"/>
      <c r="F419" s="113"/>
      <c r="G419" s="112"/>
      <c r="H419" s="112"/>
      <c r="I419" s="113"/>
    </row>
    <row r="420" spans="1:9" ht="15.75" hidden="1" thickBot="1" x14ac:dyDescent="0.3">
      <c r="A420" s="111" t="s">
        <v>2648</v>
      </c>
      <c r="B420" s="109" t="s">
        <v>1953</v>
      </c>
      <c r="C420" s="121" t="s">
        <v>593</v>
      </c>
      <c r="D420" s="109">
        <v>3</v>
      </c>
      <c r="E420" s="109"/>
      <c r="F420" s="109"/>
      <c r="G420" s="109"/>
      <c r="H420" s="109"/>
      <c r="I420" s="109"/>
    </row>
    <row r="421" spans="1:9" ht="15.75" thickBot="1" x14ac:dyDescent="0.3">
      <c r="A421" s="112" t="s">
        <v>2649</v>
      </c>
      <c r="B421" s="112" t="s">
        <v>1953</v>
      </c>
      <c r="C421" s="121" t="s">
        <v>593</v>
      </c>
      <c r="D421" s="112">
        <v>3</v>
      </c>
      <c r="E421" s="112"/>
      <c r="F421" s="113"/>
      <c r="G421" s="112"/>
      <c r="H421" s="112"/>
      <c r="I421" s="113" t="s">
        <v>2638</v>
      </c>
    </row>
    <row r="422" spans="1:9" ht="15.75" hidden="1" thickBot="1" x14ac:dyDescent="0.3">
      <c r="A422" s="111" t="s">
        <v>2650</v>
      </c>
      <c r="B422" s="109" t="s">
        <v>1953</v>
      </c>
      <c r="C422" s="121" t="s">
        <v>593</v>
      </c>
      <c r="D422" s="109">
        <v>3</v>
      </c>
      <c r="E422" s="109"/>
      <c r="F422" s="109"/>
      <c r="G422" s="109"/>
      <c r="H422" s="109"/>
      <c r="I422" s="109"/>
    </row>
    <row r="423" spans="1:9" ht="15.75" thickBot="1" x14ac:dyDescent="0.3">
      <c r="A423" s="112" t="s">
        <v>2651</v>
      </c>
      <c r="B423" s="112" t="s">
        <v>1953</v>
      </c>
      <c r="C423" s="121" t="s">
        <v>593</v>
      </c>
      <c r="D423" s="112">
        <v>3</v>
      </c>
      <c r="E423" s="112"/>
      <c r="F423" s="113"/>
      <c r="G423" s="112"/>
      <c r="H423" s="112"/>
      <c r="I423" s="113" t="s">
        <v>2652</v>
      </c>
    </row>
    <row r="424" spans="1:9" ht="15.75" thickBot="1" x14ac:dyDescent="0.3">
      <c r="A424" s="109" t="s">
        <v>2653</v>
      </c>
      <c r="B424" s="109" t="s">
        <v>1953</v>
      </c>
      <c r="C424" s="121" t="s">
        <v>593</v>
      </c>
      <c r="D424" s="109">
        <v>3</v>
      </c>
      <c r="E424" s="109"/>
      <c r="F424" s="109"/>
      <c r="G424" s="109"/>
      <c r="H424" s="109"/>
      <c r="I424" s="109" t="s">
        <v>2654</v>
      </c>
    </row>
    <row r="425" spans="1:9" ht="15.75" thickBot="1" x14ac:dyDescent="0.3">
      <c r="A425" s="112" t="s">
        <v>2655</v>
      </c>
      <c r="B425" s="112" t="s">
        <v>1953</v>
      </c>
      <c r="C425" s="121" t="s">
        <v>593</v>
      </c>
      <c r="D425" s="112">
        <v>3</v>
      </c>
      <c r="E425" s="112"/>
      <c r="F425" s="113"/>
      <c r="G425" s="112"/>
      <c r="H425" s="112"/>
      <c r="I425" s="113" t="s">
        <v>2656</v>
      </c>
    </row>
    <row r="426" spans="1:9" ht="15.75" thickBot="1" x14ac:dyDescent="0.3">
      <c r="A426" s="109" t="s">
        <v>2657</v>
      </c>
      <c r="B426" s="109" t="s">
        <v>1953</v>
      </c>
      <c r="C426" s="121" t="s">
        <v>593</v>
      </c>
      <c r="D426" s="109">
        <v>3</v>
      </c>
      <c r="E426" s="109"/>
      <c r="F426" s="109"/>
      <c r="G426" s="109"/>
      <c r="H426" s="109"/>
      <c r="I426" s="109" t="s">
        <v>2638</v>
      </c>
    </row>
    <row r="427" spans="1:9" ht="15.75" hidden="1" thickBot="1" x14ac:dyDescent="0.3">
      <c r="A427" s="111" t="s">
        <v>2658</v>
      </c>
      <c r="B427" s="112" t="s">
        <v>1953</v>
      </c>
      <c r="C427" s="121" t="s">
        <v>593</v>
      </c>
      <c r="D427" s="112">
        <v>3</v>
      </c>
      <c r="E427" s="112"/>
      <c r="F427" s="113"/>
      <c r="G427" s="112"/>
      <c r="H427" s="112"/>
      <c r="I427" s="113"/>
    </row>
    <row r="428" spans="1:9" ht="102.75" thickBot="1" x14ac:dyDescent="0.3">
      <c r="A428" s="109" t="s">
        <v>644</v>
      </c>
      <c r="B428" s="109" t="s">
        <v>1895</v>
      </c>
      <c r="C428" s="121" t="s">
        <v>593</v>
      </c>
      <c r="D428" s="109">
        <v>3</v>
      </c>
      <c r="E428" s="109" t="s">
        <v>1915</v>
      </c>
      <c r="F428" s="114"/>
      <c r="G428" s="109" t="s">
        <v>2145</v>
      </c>
      <c r="H428" s="109" t="s">
        <v>2659</v>
      </c>
      <c r="I428" s="109" t="s">
        <v>2660</v>
      </c>
    </row>
    <row r="429" spans="1:9" ht="15.75" thickBot="1" x14ac:dyDescent="0.3">
      <c r="A429" s="112" t="s">
        <v>1871</v>
      </c>
      <c r="B429" s="112" t="s">
        <v>1895</v>
      </c>
      <c r="C429" s="121" t="s">
        <v>593</v>
      </c>
      <c r="D429" s="112">
        <v>3</v>
      </c>
      <c r="E429" s="112" t="s">
        <v>1915</v>
      </c>
      <c r="F429" s="113"/>
      <c r="G429" s="112" t="s">
        <v>2162</v>
      </c>
      <c r="H429" s="112" t="s">
        <v>58</v>
      </c>
      <c r="I429" s="113" t="s">
        <v>2163</v>
      </c>
    </row>
    <row r="430" spans="1:9" ht="15.75" hidden="1" thickBot="1" x14ac:dyDescent="0.3">
      <c r="A430" s="111" t="s">
        <v>2661</v>
      </c>
      <c r="B430" s="109" t="s">
        <v>1890</v>
      </c>
      <c r="C430" s="121" t="s">
        <v>593</v>
      </c>
      <c r="D430" s="109">
        <v>3</v>
      </c>
      <c r="E430" s="109" t="s">
        <v>1915</v>
      </c>
      <c r="F430" s="109"/>
      <c r="G430" s="109"/>
      <c r="H430" s="109" t="s">
        <v>2662</v>
      </c>
      <c r="I430" s="109"/>
    </row>
    <row r="431" spans="1:9" ht="15.75" hidden="1" thickBot="1" x14ac:dyDescent="0.3">
      <c r="A431" s="111" t="s">
        <v>2663</v>
      </c>
      <c r="B431" s="112" t="s">
        <v>1890</v>
      </c>
      <c r="C431" s="121" t="s">
        <v>593</v>
      </c>
      <c r="D431" s="112">
        <v>3</v>
      </c>
      <c r="E431" s="112" t="s">
        <v>1915</v>
      </c>
      <c r="F431" s="113"/>
      <c r="G431" s="112"/>
      <c r="H431" s="112" t="s">
        <v>2664</v>
      </c>
      <c r="I431" s="113"/>
    </row>
    <row r="432" spans="1:9" ht="15.75" hidden="1" thickBot="1" x14ac:dyDescent="0.3">
      <c r="A432" s="111" t="s">
        <v>2665</v>
      </c>
      <c r="B432" s="109" t="s">
        <v>1890</v>
      </c>
      <c r="C432" s="121" t="s">
        <v>593</v>
      </c>
      <c r="D432" s="109">
        <v>3</v>
      </c>
      <c r="E432" s="109" t="s">
        <v>1915</v>
      </c>
      <c r="F432" s="109"/>
      <c r="G432" s="109"/>
      <c r="H432" s="109" t="s">
        <v>2666</v>
      </c>
      <c r="I432" s="109"/>
    </row>
    <row r="433" spans="1:9" ht="15.75" hidden="1" thickBot="1" x14ac:dyDescent="0.3">
      <c r="A433" s="111" t="s">
        <v>2667</v>
      </c>
      <c r="B433" s="112" t="s">
        <v>1890</v>
      </c>
      <c r="C433" s="121" t="s">
        <v>593</v>
      </c>
      <c r="D433" s="112">
        <v>3</v>
      </c>
      <c r="E433" s="112" t="s">
        <v>1915</v>
      </c>
      <c r="F433" s="113"/>
      <c r="G433" s="112"/>
      <c r="H433" s="112" t="s">
        <v>2668</v>
      </c>
      <c r="I433" s="113"/>
    </row>
    <row r="434" spans="1:9" ht="15.75" hidden="1" thickBot="1" x14ac:dyDescent="0.3">
      <c r="A434" s="111" t="s">
        <v>2669</v>
      </c>
      <c r="B434" s="109" t="s">
        <v>1890</v>
      </c>
      <c r="C434" s="121" t="s">
        <v>593</v>
      </c>
      <c r="D434" s="109">
        <v>3</v>
      </c>
      <c r="E434" s="109" t="s">
        <v>1915</v>
      </c>
      <c r="F434" s="114"/>
      <c r="G434" s="109"/>
      <c r="H434" s="109"/>
      <c r="I434" s="109"/>
    </row>
    <row r="435" spans="1:9" ht="15.75" hidden="1" thickBot="1" x14ac:dyDescent="0.3">
      <c r="A435" s="111" t="s">
        <v>2670</v>
      </c>
      <c r="B435" s="112" t="s">
        <v>1890</v>
      </c>
      <c r="C435" s="121" t="s">
        <v>593</v>
      </c>
      <c r="D435" s="112">
        <v>3</v>
      </c>
      <c r="E435" s="112" t="s">
        <v>1915</v>
      </c>
      <c r="F435" s="113"/>
      <c r="G435" s="112"/>
      <c r="H435" s="112" t="s">
        <v>2671</v>
      </c>
      <c r="I435" s="113"/>
    </row>
    <row r="436" spans="1:9" ht="15.75" hidden="1" thickBot="1" x14ac:dyDescent="0.3">
      <c r="A436" s="111" t="s">
        <v>2672</v>
      </c>
      <c r="B436" s="109" t="s">
        <v>1890</v>
      </c>
      <c r="C436" s="121" t="s">
        <v>593</v>
      </c>
      <c r="D436" s="109">
        <v>3</v>
      </c>
      <c r="E436" s="109" t="s">
        <v>1915</v>
      </c>
      <c r="F436" s="109"/>
      <c r="G436" s="109"/>
      <c r="H436" s="109"/>
      <c r="I436" s="109"/>
    </row>
    <row r="437" spans="1:9" ht="15.75" hidden="1" thickBot="1" x14ac:dyDescent="0.3">
      <c r="A437" s="111" t="s">
        <v>2673</v>
      </c>
      <c r="B437" s="112" t="s">
        <v>1890</v>
      </c>
      <c r="C437" s="121" t="s">
        <v>593</v>
      </c>
      <c r="D437" s="112">
        <v>3</v>
      </c>
      <c r="E437" s="112" t="s">
        <v>1915</v>
      </c>
      <c r="F437" s="113"/>
      <c r="G437" s="112"/>
      <c r="H437" s="112" t="s">
        <v>2674</v>
      </c>
      <c r="I437" s="113"/>
    </row>
    <row r="438" spans="1:9" ht="15.75" hidden="1" thickBot="1" x14ac:dyDescent="0.3">
      <c r="A438" s="111" t="s">
        <v>2675</v>
      </c>
      <c r="B438" s="109" t="s">
        <v>1890</v>
      </c>
      <c r="C438" s="121" t="s">
        <v>593</v>
      </c>
      <c r="D438" s="109">
        <v>3</v>
      </c>
      <c r="E438" s="109" t="s">
        <v>1915</v>
      </c>
      <c r="F438" s="109"/>
      <c r="G438" s="109"/>
      <c r="H438" s="109"/>
      <c r="I438" s="109"/>
    </row>
    <row r="439" spans="1:9" ht="15.75" hidden="1" thickBot="1" x14ac:dyDescent="0.3">
      <c r="A439" s="111" t="s">
        <v>2676</v>
      </c>
      <c r="B439" s="112" t="s">
        <v>1890</v>
      </c>
      <c r="C439" s="121" t="s">
        <v>593</v>
      </c>
      <c r="D439" s="112">
        <v>3</v>
      </c>
      <c r="E439" s="112" t="s">
        <v>1915</v>
      </c>
      <c r="F439" s="113"/>
      <c r="G439" s="112"/>
      <c r="H439" s="112" t="s">
        <v>2677</v>
      </c>
      <c r="I439" s="113"/>
    </row>
    <row r="440" spans="1:9" ht="15.75" hidden="1" thickBot="1" x14ac:dyDescent="0.3">
      <c r="A440" s="111" t="s">
        <v>2678</v>
      </c>
      <c r="B440" s="119" t="s">
        <v>1890</v>
      </c>
      <c r="C440" s="122" t="s">
        <v>593</v>
      </c>
      <c r="D440" s="119">
        <v>3</v>
      </c>
      <c r="E440" s="119" t="s">
        <v>1915</v>
      </c>
      <c r="F440" s="120"/>
      <c r="G440" s="119"/>
      <c r="H440" s="119"/>
      <c r="I440" s="120"/>
    </row>
    <row r="441" spans="1:9" ht="15.75" hidden="1" thickBot="1" x14ac:dyDescent="0.3">
      <c r="A441" s="111" t="s">
        <v>2679</v>
      </c>
      <c r="B441" s="112" t="s">
        <v>1890</v>
      </c>
      <c r="C441" s="121" t="s">
        <v>593</v>
      </c>
      <c r="D441" s="112">
        <v>3</v>
      </c>
      <c r="E441" s="112" t="s">
        <v>1915</v>
      </c>
      <c r="F441" s="113"/>
      <c r="G441" s="112"/>
      <c r="H441" s="112" t="s">
        <v>2680</v>
      </c>
      <c r="I441" s="113"/>
    </row>
    <row r="442" spans="1:9" ht="39" thickBot="1" x14ac:dyDescent="0.3">
      <c r="A442" s="109" t="s">
        <v>2681</v>
      </c>
      <c r="B442" s="109" t="s">
        <v>1890</v>
      </c>
      <c r="C442" s="121" t="s">
        <v>593</v>
      </c>
      <c r="D442" s="109">
        <v>3</v>
      </c>
      <c r="E442" s="109" t="s">
        <v>1915</v>
      </c>
      <c r="F442" s="109" t="s">
        <v>2682</v>
      </c>
      <c r="G442" s="109" t="s">
        <v>2683</v>
      </c>
      <c r="H442" s="109" t="s">
        <v>2684</v>
      </c>
      <c r="I442" s="109" t="s">
        <v>2685</v>
      </c>
    </row>
    <row r="443" spans="1:9" ht="64.5" thickBot="1" x14ac:dyDescent="0.3">
      <c r="A443" s="112" t="s">
        <v>2686</v>
      </c>
      <c r="B443" s="112" t="s">
        <v>1890</v>
      </c>
      <c r="C443" s="121" t="s">
        <v>593</v>
      </c>
      <c r="D443" s="112">
        <v>3</v>
      </c>
      <c r="E443" s="112" t="s">
        <v>1915</v>
      </c>
      <c r="F443" s="113" t="s">
        <v>1982</v>
      </c>
      <c r="G443" s="112" t="s">
        <v>2683</v>
      </c>
      <c r="H443" s="112" t="s">
        <v>2687</v>
      </c>
      <c r="I443" s="113" t="s">
        <v>2688</v>
      </c>
    </row>
    <row r="444" spans="1:9" ht="15.75" hidden="1" thickBot="1" x14ac:dyDescent="0.3">
      <c r="A444" s="111" t="s">
        <v>862</v>
      </c>
      <c r="B444" s="109" t="s">
        <v>1895</v>
      </c>
      <c r="C444" s="121" t="s">
        <v>593</v>
      </c>
      <c r="D444" s="109">
        <v>3</v>
      </c>
      <c r="E444" s="109" t="s">
        <v>1915</v>
      </c>
      <c r="F444" s="109" t="s">
        <v>2038</v>
      </c>
      <c r="G444" s="109" t="s">
        <v>1950</v>
      </c>
      <c r="H444" s="109"/>
      <c r="I444" s="109"/>
    </row>
    <row r="445" spans="1:9" ht="64.5" thickBot="1" x14ac:dyDescent="0.3">
      <c r="A445" s="112" t="s">
        <v>816</v>
      </c>
      <c r="B445" s="112" t="s">
        <v>1895</v>
      </c>
      <c r="C445" s="121" t="s">
        <v>593</v>
      </c>
      <c r="D445" s="112">
        <v>3</v>
      </c>
      <c r="E445" s="112" t="s">
        <v>1915</v>
      </c>
      <c r="F445" s="113" t="s">
        <v>2035</v>
      </c>
      <c r="G445" s="112" t="s">
        <v>1950</v>
      </c>
      <c r="H445" s="112"/>
      <c r="I445" s="113" t="s">
        <v>2689</v>
      </c>
    </row>
    <row r="446" spans="1:9" ht="15.75" thickBot="1" x14ac:dyDescent="0.3">
      <c r="A446" s="109" t="s">
        <v>681</v>
      </c>
      <c r="B446" s="109" t="s">
        <v>1895</v>
      </c>
      <c r="C446" s="121" t="s">
        <v>593</v>
      </c>
      <c r="D446" s="109">
        <v>3</v>
      </c>
      <c r="E446" s="109" t="s">
        <v>1915</v>
      </c>
      <c r="F446" s="109" t="s">
        <v>2035</v>
      </c>
      <c r="G446" s="109" t="s">
        <v>1950</v>
      </c>
      <c r="H446" s="109"/>
      <c r="I446" s="109" t="s">
        <v>2690</v>
      </c>
    </row>
    <row r="447" spans="1:9" ht="15.75" thickBot="1" x14ac:dyDescent="0.3">
      <c r="A447" s="112" t="s">
        <v>614</v>
      </c>
      <c r="B447" s="112" t="s">
        <v>1895</v>
      </c>
      <c r="C447" s="121" t="s">
        <v>593</v>
      </c>
      <c r="D447" s="112">
        <v>3</v>
      </c>
      <c r="E447" s="112" t="s">
        <v>1915</v>
      </c>
      <c r="F447" s="113"/>
      <c r="G447" s="112" t="s">
        <v>2691</v>
      </c>
      <c r="H447" s="112"/>
      <c r="I447" s="113" t="s">
        <v>2692</v>
      </c>
    </row>
    <row r="448" spans="1:9" ht="39" thickBot="1" x14ac:dyDescent="0.3">
      <c r="A448" s="109" t="s">
        <v>1794</v>
      </c>
      <c r="B448" s="109" t="s">
        <v>1895</v>
      </c>
      <c r="C448" s="121" t="s">
        <v>593</v>
      </c>
      <c r="D448" s="109">
        <v>3</v>
      </c>
      <c r="E448" s="109"/>
      <c r="F448" s="114"/>
      <c r="G448" s="109" t="s">
        <v>2683</v>
      </c>
      <c r="H448" s="109" t="s">
        <v>2693</v>
      </c>
      <c r="I448" s="109" t="s">
        <v>2694</v>
      </c>
    </row>
    <row r="449" spans="1:9" ht="15.75" thickBot="1" x14ac:dyDescent="0.3">
      <c r="A449" s="112" t="s">
        <v>734</v>
      </c>
      <c r="B449" s="112" t="s">
        <v>1895</v>
      </c>
      <c r="C449" s="121" t="s">
        <v>593</v>
      </c>
      <c r="D449" s="112">
        <v>3</v>
      </c>
      <c r="E449" s="112" t="s">
        <v>1915</v>
      </c>
      <c r="F449" s="113"/>
      <c r="G449" s="112" t="s">
        <v>2695</v>
      </c>
      <c r="H449" s="112" t="s">
        <v>58</v>
      </c>
      <c r="I449" s="113" t="s">
        <v>2696</v>
      </c>
    </row>
    <row r="450" spans="1:9" ht="15.75" hidden="1" thickBot="1" x14ac:dyDescent="0.3">
      <c r="A450" s="111" t="s">
        <v>2697</v>
      </c>
      <c r="B450" s="109" t="s">
        <v>1895</v>
      </c>
      <c r="C450" s="121" t="s">
        <v>593</v>
      </c>
      <c r="D450" s="109">
        <v>3</v>
      </c>
      <c r="E450" s="109" t="s">
        <v>1915</v>
      </c>
      <c r="F450" s="114"/>
      <c r="G450" s="109" t="s">
        <v>1950</v>
      </c>
      <c r="H450" s="109"/>
      <c r="I450" s="109"/>
    </row>
    <row r="451" spans="1:9" ht="26.25" thickBot="1" x14ac:dyDescent="0.3">
      <c r="A451" s="112" t="s">
        <v>1378</v>
      </c>
      <c r="B451" s="112" t="s">
        <v>1895</v>
      </c>
      <c r="C451" s="121" t="s">
        <v>593</v>
      </c>
      <c r="D451" s="112">
        <v>3</v>
      </c>
      <c r="E451" s="112"/>
      <c r="F451" s="113"/>
      <c r="G451" s="112" t="s">
        <v>2157</v>
      </c>
      <c r="H451" s="112" t="s">
        <v>2698</v>
      </c>
      <c r="I451" s="113" t="s">
        <v>2699</v>
      </c>
    </row>
    <row r="452" spans="1:9" ht="90" thickBot="1" x14ac:dyDescent="0.3">
      <c r="A452" s="109" t="s">
        <v>708</v>
      </c>
      <c r="B452" s="109" t="s">
        <v>1895</v>
      </c>
      <c r="C452" s="121" t="s">
        <v>593</v>
      </c>
      <c r="D452" s="109">
        <v>3</v>
      </c>
      <c r="E452" s="109" t="s">
        <v>1915</v>
      </c>
      <c r="F452" s="109" t="s">
        <v>2700</v>
      </c>
      <c r="G452" s="109" t="s">
        <v>1950</v>
      </c>
      <c r="H452" s="109"/>
      <c r="I452" s="109" t="s">
        <v>2701</v>
      </c>
    </row>
    <row r="453" spans="1:9" ht="15.75" thickBot="1" x14ac:dyDescent="0.3">
      <c r="A453" s="112" t="s">
        <v>747</v>
      </c>
      <c r="B453" s="112" t="s">
        <v>1895</v>
      </c>
      <c r="C453" s="121" t="s">
        <v>593</v>
      </c>
      <c r="D453" s="112">
        <v>3</v>
      </c>
      <c r="E453" s="112" t="s">
        <v>1915</v>
      </c>
      <c r="F453" s="113"/>
      <c r="G453" s="112" t="s">
        <v>2176</v>
      </c>
      <c r="H453" s="112" t="s">
        <v>2702</v>
      </c>
      <c r="I453" s="113" t="s">
        <v>2703</v>
      </c>
    </row>
    <row r="454" spans="1:9" ht="39" thickBot="1" x14ac:dyDescent="0.3">
      <c r="A454" s="109" t="s">
        <v>625</v>
      </c>
      <c r="B454" s="109" t="s">
        <v>1895</v>
      </c>
      <c r="C454" s="121" t="s">
        <v>593</v>
      </c>
      <c r="D454" s="109">
        <v>3</v>
      </c>
      <c r="E454" s="109" t="s">
        <v>1915</v>
      </c>
      <c r="F454" s="114"/>
      <c r="G454" s="109" t="s">
        <v>2176</v>
      </c>
      <c r="H454" s="109" t="s">
        <v>2704</v>
      </c>
      <c r="I454" s="109" t="s">
        <v>2705</v>
      </c>
    </row>
    <row r="455" spans="1:9" ht="39" thickBot="1" x14ac:dyDescent="0.3">
      <c r="A455" s="112" t="s">
        <v>2706</v>
      </c>
      <c r="B455" s="112" t="s">
        <v>1953</v>
      </c>
      <c r="C455" s="121" t="s">
        <v>593</v>
      </c>
      <c r="D455" s="112">
        <v>3</v>
      </c>
      <c r="E455" s="112" t="s">
        <v>1915</v>
      </c>
      <c r="F455" s="113" t="s">
        <v>2707</v>
      </c>
      <c r="G455" s="112" t="s">
        <v>2176</v>
      </c>
      <c r="H455" s="112" t="s">
        <v>2708</v>
      </c>
      <c r="I455" s="113" t="s">
        <v>2709</v>
      </c>
    </row>
    <row r="456" spans="1:9" ht="15.75" hidden="1" thickBot="1" x14ac:dyDescent="0.3">
      <c r="A456" s="111" t="s">
        <v>2710</v>
      </c>
      <c r="B456" s="109" t="s">
        <v>1953</v>
      </c>
      <c r="C456" s="121" t="s">
        <v>593</v>
      </c>
      <c r="D456" s="109">
        <v>3</v>
      </c>
      <c r="E456" s="109" t="s">
        <v>1915</v>
      </c>
      <c r="F456" s="109"/>
      <c r="G456" s="109"/>
      <c r="H456" s="109"/>
      <c r="I456" s="109"/>
    </row>
    <row r="457" spans="1:9" ht="15.75" hidden="1" thickBot="1" x14ac:dyDescent="0.3">
      <c r="A457" s="111" t="s">
        <v>2711</v>
      </c>
      <c r="B457" s="112" t="s">
        <v>1953</v>
      </c>
      <c r="C457" s="121" t="s">
        <v>593</v>
      </c>
      <c r="D457" s="112">
        <v>3</v>
      </c>
      <c r="E457" s="112" t="s">
        <v>1915</v>
      </c>
      <c r="F457" s="113"/>
      <c r="G457" s="112"/>
      <c r="H457" s="112"/>
      <c r="I457" s="113"/>
    </row>
    <row r="458" spans="1:9" ht="15.75" hidden="1" thickBot="1" x14ac:dyDescent="0.3">
      <c r="A458" s="111" t="s">
        <v>2712</v>
      </c>
      <c r="B458" s="109" t="s">
        <v>1953</v>
      </c>
      <c r="C458" s="121" t="s">
        <v>593</v>
      </c>
      <c r="D458" s="109">
        <v>3</v>
      </c>
      <c r="E458" s="109" t="s">
        <v>1915</v>
      </c>
      <c r="F458" s="109"/>
      <c r="G458" s="109"/>
      <c r="H458" s="109"/>
      <c r="I458" s="109"/>
    </row>
    <row r="459" spans="1:9" ht="15.75" thickBot="1" x14ac:dyDescent="0.3">
      <c r="A459" s="112" t="s">
        <v>2713</v>
      </c>
      <c r="B459" s="112" t="s">
        <v>1895</v>
      </c>
      <c r="C459" s="121" t="s">
        <v>593</v>
      </c>
      <c r="D459" s="112">
        <v>3</v>
      </c>
      <c r="E459" s="112" t="s">
        <v>1915</v>
      </c>
      <c r="F459" s="113"/>
      <c r="G459" s="112" t="s">
        <v>2695</v>
      </c>
      <c r="H459" s="112"/>
      <c r="I459" s="113" t="s">
        <v>2714</v>
      </c>
    </row>
    <row r="460" spans="1:9" ht="26.25" thickBot="1" x14ac:dyDescent="0.3">
      <c r="A460" s="109" t="s">
        <v>2715</v>
      </c>
      <c r="B460" s="109" t="s">
        <v>1895</v>
      </c>
      <c r="C460" s="121" t="s">
        <v>593</v>
      </c>
      <c r="D460" s="109">
        <v>3</v>
      </c>
      <c r="E460" s="109" t="s">
        <v>1915</v>
      </c>
      <c r="F460" s="114"/>
      <c r="G460" s="109" t="s">
        <v>2176</v>
      </c>
      <c r="H460" s="109" t="s">
        <v>2716</v>
      </c>
      <c r="I460" s="109" t="s">
        <v>2717</v>
      </c>
    </row>
    <row r="461" spans="1:9" ht="166.5" thickBot="1" x14ac:dyDescent="0.3">
      <c r="A461" s="112" t="s">
        <v>739</v>
      </c>
      <c r="B461" s="112" t="s">
        <v>1895</v>
      </c>
      <c r="C461" s="121" t="s">
        <v>593</v>
      </c>
      <c r="D461" s="112">
        <v>3</v>
      </c>
      <c r="E461" s="112" t="s">
        <v>1915</v>
      </c>
      <c r="F461" s="113"/>
      <c r="G461" s="112" t="s">
        <v>2176</v>
      </c>
      <c r="H461" s="112" t="s">
        <v>2718</v>
      </c>
      <c r="I461" s="113" t="s">
        <v>2719</v>
      </c>
    </row>
    <row r="462" spans="1:9" ht="39" thickBot="1" x14ac:dyDescent="0.3">
      <c r="A462" s="109" t="s">
        <v>678</v>
      </c>
      <c r="B462" s="109" t="s">
        <v>1895</v>
      </c>
      <c r="C462" s="121" t="s">
        <v>593</v>
      </c>
      <c r="D462" s="109">
        <v>3</v>
      </c>
      <c r="E462" s="109"/>
      <c r="F462" s="114"/>
      <c r="G462" s="109" t="s">
        <v>2179</v>
      </c>
      <c r="H462" s="109" t="s">
        <v>2720</v>
      </c>
      <c r="I462" s="109" t="s">
        <v>2721</v>
      </c>
    </row>
    <row r="463" spans="1:9" ht="15.75" thickBot="1" x14ac:dyDescent="0.3">
      <c r="A463" s="112" t="s">
        <v>2722</v>
      </c>
      <c r="B463" s="112" t="s">
        <v>1895</v>
      </c>
      <c r="C463" s="121" t="s">
        <v>593</v>
      </c>
      <c r="D463" s="112">
        <v>3</v>
      </c>
      <c r="E463" s="112" t="s">
        <v>1915</v>
      </c>
      <c r="F463" s="113"/>
      <c r="G463" s="112" t="s">
        <v>2723</v>
      </c>
      <c r="H463" s="112"/>
      <c r="I463" s="113" t="s">
        <v>2692</v>
      </c>
    </row>
    <row r="464" spans="1:9" ht="204.75" thickBot="1" x14ac:dyDescent="0.3">
      <c r="A464" s="109" t="s">
        <v>611</v>
      </c>
      <c r="B464" s="109" t="s">
        <v>1895</v>
      </c>
      <c r="C464" s="121" t="s">
        <v>593</v>
      </c>
      <c r="D464" s="109">
        <v>3</v>
      </c>
      <c r="E464" s="109" t="s">
        <v>1915</v>
      </c>
      <c r="F464" s="114"/>
      <c r="G464" s="109" t="s">
        <v>2179</v>
      </c>
      <c r="H464" s="109" t="s">
        <v>2724</v>
      </c>
      <c r="I464" s="109" t="s">
        <v>2725</v>
      </c>
    </row>
    <row r="465" spans="1:9" ht="51.75" thickBot="1" x14ac:dyDescent="0.3">
      <c r="A465" s="112" t="s">
        <v>702</v>
      </c>
      <c r="B465" s="112" t="s">
        <v>1895</v>
      </c>
      <c r="C465" s="121" t="s">
        <v>593</v>
      </c>
      <c r="D465" s="112">
        <v>3</v>
      </c>
      <c r="E465" s="112"/>
      <c r="F465" s="113"/>
      <c r="G465" s="112" t="s">
        <v>2179</v>
      </c>
      <c r="H465" s="112" t="s">
        <v>2726</v>
      </c>
      <c r="I465" s="113" t="s">
        <v>2727</v>
      </c>
    </row>
    <row r="466" spans="1:9" ht="51.75" thickBot="1" x14ac:dyDescent="0.3">
      <c r="A466" s="109" t="s">
        <v>621</v>
      </c>
      <c r="B466" s="109" t="s">
        <v>1895</v>
      </c>
      <c r="C466" s="121" t="s">
        <v>593</v>
      </c>
      <c r="D466" s="109">
        <v>3</v>
      </c>
      <c r="E466" s="109"/>
      <c r="F466" s="114"/>
      <c r="G466" s="109" t="s">
        <v>2190</v>
      </c>
      <c r="H466" s="109" t="s">
        <v>2728</v>
      </c>
      <c r="I466" s="109" t="s">
        <v>2729</v>
      </c>
    </row>
    <row r="467" spans="1:9" ht="15.75" thickBot="1" x14ac:dyDescent="0.3">
      <c r="A467" s="112" t="s">
        <v>2730</v>
      </c>
      <c r="B467" s="112" t="s">
        <v>1895</v>
      </c>
      <c r="C467" s="121" t="s">
        <v>593</v>
      </c>
      <c r="D467" s="112">
        <v>3</v>
      </c>
      <c r="E467" s="112"/>
      <c r="F467" s="113"/>
      <c r="G467" s="112" t="s">
        <v>1946</v>
      </c>
      <c r="H467" s="112" t="s">
        <v>58</v>
      </c>
      <c r="I467" s="113" t="s">
        <v>2731</v>
      </c>
    </row>
    <row r="468" spans="1:9" ht="15.75" thickBot="1" x14ac:dyDescent="0.3">
      <c r="A468" s="109" t="s">
        <v>2732</v>
      </c>
      <c r="B468" s="109" t="s">
        <v>1895</v>
      </c>
      <c r="C468" s="121" t="s">
        <v>593</v>
      </c>
      <c r="D468" s="109">
        <v>3</v>
      </c>
      <c r="E468" s="109"/>
      <c r="F468" s="114"/>
      <c r="G468" s="109" t="s">
        <v>2193</v>
      </c>
      <c r="H468" s="109" t="s">
        <v>2733</v>
      </c>
      <c r="I468" s="109" t="s">
        <v>2734</v>
      </c>
    </row>
    <row r="469" spans="1:9" ht="15.75" thickBot="1" x14ac:dyDescent="0.3">
      <c r="A469" s="112" t="s">
        <v>2735</v>
      </c>
      <c r="B469" s="112" t="s">
        <v>1895</v>
      </c>
      <c r="C469" s="121" t="s">
        <v>593</v>
      </c>
      <c r="D469" s="112">
        <v>3</v>
      </c>
      <c r="E469" s="112" t="s">
        <v>1915</v>
      </c>
      <c r="F469" s="113"/>
      <c r="G469" s="112" t="s">
        <v>2211</v>
      </c>
      <c r="H469" s="112"/>
      <c r="I469" s="113" t="s">
        <v>2736</v>
      </c>
    </row>
    <row r="470" spans="1:9" ht="90" thickBot="1" x14ac:dyDescent="0.3">
      <c r="A470" s="109" t="s">
        <v>680</v>
      </c>
      <c r="B470" s="109" t="s">
        <v>1895</v>
      </c>
      <c r="C470" s="121" t="s">
        <v>593</v>
      </c>
      <c r="D470" s="109">
        <v>3</v>
      </c>
      <c r="E470" s="109"/>
      <c r="F470" s="114"/>
      <c r="G470" s="109" t="s">
        <v>2193</v>
      </c>
      <c r="H470" s="109" t="s">
        <v>2737</v>
      </c>
      <c r="I470" s="109" t="s">
        <v>2738</v>
      </c>
    </row>
    <row r="471" spans="1:9" ht="15.75" hidden="1" thickBot="1" x14ac:dyDescent="0.3">
      <c r="A471" s="111" t="s">
        <v>2739</v>
      </c>
      <c r="B471" s="112" t="s">
        <v>1895</v>
      </c>
      <c r="C471" s="121" t="s">
        <v>593</v>
      </c>
      <c r="D471" s="112">
        <v>3</v>
      </c>
      <c r="E471" s="112"/>
      <c r="F471" s="113"/>
      <c r="G471" s="112"/>
      <c r="H471" s="112"/>
      <c r="I471" s="113"/>
    </row>
    <row r="472" spans="1:9" ht="15.75" hidden="1" thickBot="1" x14ac:dyDescent="0.3">
      <c r="A472" s="111" t="s">
        <v>2740</v>
      </c>
      <c r="B472" s="109" t="s">
        <v>1895</v>
      </c>
      <c r="C472" s="121" t="s">
        <v>593</v>
      </c>
      <c r="D472" s="109">
        <v>3</v>
      </c>
      <c r="E472" s="109"/>
      <c r="F472" s="114"/>
      <c r="G472" s="109"/>
      <c r="H472" s="109"/>
      <c r="I472" s="109"/>
    </row>
    <row r="473" spans="1:9" ht="15.75" hidden="1" thickBot="1" x14ac:dyDescent="0.3">
      <c r="A473" s="111" t="s">
        <v>2741</v>
      </c>
      <c r="B473" s="112" t="s">
        <v>1895</v>
      </c>
      <c r="C473" s="121" t="s">
        <v>593</v>
      </c>
      <c r="D473" s="112">
        <v>3</v>
      </c>
      <c r="E473" s="112"/>
      <c r="F473" s="113"/>
      <c r="G473" s="112"/>
      <c r="H473" s="112"/>
      <c r="I473" s="113"/>
    </row>
    <row r="474" spans="1:9" ht="15.75" hidden="1" thickBot="1" x14ac:dyDescent="0.3">
      <c r="A474" s="111" t="s">
        <v>2742</v>
      </c>
      <c r="B474" s="109" t="s">
        <v>1895</v>
      </c>
      <c r="C474" s="121" t="s">
        <v>593</v>
      </c>
      <c r="D474" s="109">
        <v>3</v>
      </c>
      <c r="E474" s="109"/>
      <c r="F474" s="114"/>
      <c r="G474" s="109"/>
      <c r="H474" s="109"/>
      <c r="I474" s="109"/>
    </row>
    <row r="475" spans="1:9" ht="15.75" hidden="1" thickBot="1" x14ac:dyDescent="0.3">
      <c r="A475" s="111" t="s">
        <v>2743</v>
      </c>
      <c r="B475" s="112" t="s">
        <v>1895</v>
      </c>
      <c r="C475" s="121" t="s">
        <v>593</v>
      </c>
      <c r="D475" s="112">
        <v>3</v>
      </c>
      <c r="E475" s="112"/>
      <c r="F475" s="113"/>
      <c r="G475" s="112"/>
      <c r="H475" s="112"/>
      <c r="I475" s="113"/>
    </row>
    <row r="476" spans="1:9" ht="15.75" thickBot="1" x14ac:dyDescent="0.3">
      <c r="A476" s="109" t="s">
        <v>762</v>
      </c>
      <c r="B476" s="109" t="s">
        <v>1895</v>
      </c>
      <c r="C476" s="121" t="s">
        <v>593</v>
      </c>
      <c r="D476" s="109">
        <v>3</v>
      </c>
      <c r="E476" s="109" t="s">
        <v>1915</v>
      </c>
      <c r="F476" s="114"/>
      <c r="G476" s="109" t="s">
        <v>2695</v>
      </c>
      <c r="H476" s="109" t="s">
        <v>58</v>
      </c>
      <c r="I476" s="109" t="s">
        <v>2744</v>
      </c>
    </row>
    <row r="477" spans="1:9" ht="15.75" thickBot="1" x14ac:dyDescent="0.3">
      <c r="A477" s="112" t="s">
        <v>2745</v>
      </c>
      <c r="B477" s="112" t="s">
        <v>1895</v>
      </c>
      <c r="C477" s="121" t="s">
        <v>593</v>
      </c>
      <c r="D477" s="112">
        <v>3</v>
      </c>
      <c r="E477" s="112" t="s">
        <v>1915</v>
      </c>
      <c r="F477" s="113"/>
      <c r="G477" s="112" t="s">
        <v>2746</v>
      </c>
      <c r="H477" s="112" t="s">
        <v>58</v>
      </c>
      <c r="I477" s="113" t="s">
        <v>2441</v>
      </c>
    </row>
    <row r="478" spans="1:9" ht="39" thickBot="1" x14ac:dyDescent="0.3">
      <c r="A478" s="109" t="s">
        <v>606</v>
      </c>
      <c r="B478" s="109" t="s">
        <v>1895</v>
      </c>
      <c r="C478" s="121" t="s">
        <v>593</v>
      </c>
      <c r="D478" s="109">
        <v>3</v>
      </c>
      <c r="E478" s="109" t="s">
        <v>1915</v>
      </c>
      <c r="F478" s="114"/>
      <c r="G478" s="109" t="s">
        <v>2193</v>
      </c>
      <c r="H478" s="109" t="s">
        <v>2747</v>
      </c>
      <c r="I478" s="109" t="s">
        <v>2748</v>
      </c>
    </row>
    <row r="479" spans="1:9" ht="102.75" thickBot="1" x14ac:dyDescent="0.3">
      <c r="A479" s="112" t="s">
        <v>742</v>
      </c>
      <c r="B479" s="112" t="s">
        <v>1895</v>
      </c>
      <c r="C479" s="121" t="s">
        <v>593</v>
      </c>
      <c r="D479" s="112">
        <v>3</v>
      </c>
      <c r="E479" s="112" t="s">
        <v>1915</v>
      </c>
      <c r="F479" s="113"/>
      <c r="G479" s="112" t="s">
        <v>2201</v>
      </c>
      <c r="H479" s="112" t="s">
        <v>2749</v>
      </c>
      <c r="I479" s="113" t="s">
        <v>2750</v>
      </c>
    </row>
    <row r="480" spans="1:9" ht="15.75" hidden="1" thickBot="1" x14ac:dyDescent="0.3">
      <c r="A480" s="111" t="s">
        <v>2751</v>
      </c>
      <c r="B480" s="109" t="s">
        <v>1953</v>
      </c>
      <c r="C480" s="121" t="s">
        <v>593</v>
      </c>
      <c r="D480" s="109">
        <v>3</v>
      </c>
      <c r="E480" s="109" t="s">
        <v>1915</v>
      </c>
      <c r="F480" s="109" t="s">
        <v>1954</v>
      </c>
      <c r="G480" s="109" t="s">
        <v>2752</v>
      </c>
      <c r="H480" s="109" t="s">
        <v>58</v>
      </c>
      <c r="I480" s="109"/>
    </row>
    <row r="481" spans="1:9" ht="15.75" hidden="1" thickBot="1" x14ac:dyDescent="0.3">
      <c r="A481" s="111" t="s">
        <v>2753</v>
      </c>
      <c r="B481" s="112" t="s">
        <v>1953</v>
      </c>
      <c r="C481" s="121" t="s">
        <v>593</v>
      </c>
      <c r="D481" s="112">
        <v>3</v>
      </c>
      <c r="E481" s="112" t="s">
        <v>1915</v>
      </c>
      <c r="F481" s="113" t="s">
        <v>1954</v>
      </c>
      <c r="G481" s="112" t="s">
        <v>2752</v>
      </c>
      <c r="H481" s="112" t="s">
        <v>58</v>
      </c>
      <c r="I481" s="113"/>
    </row>
    <row r="482" spans="1:9" ht="15.75" thickBot="1" x14ac:dyDescent="0.3">
      <c r="A482" s="109" t="s">
        <v>2754</v>
      </c>
      <c r="B482" s="109" t="s">
        <v>1953</v>
      </c>
      <c r="C482" s="121" t="s">
        <v>593</v>
      </c>
      <c r="D482" s="109">
        <v>3</v>
      </c>
      <c r="E482" s="109" t="s">
        <v>1915</v>
      </c>
      <c r="F482" s="109" t="s">
        <v>1954</v>
      </c>
      <c r="G482" s="109" t="s">
        <v>2752</v>
      </c>
      <c r="H482" s="109" t="s">
        <v>58</v>
      </c>
      <c r="I482" s="109" t="s">
        <v>1910</v>
      </c>
    </row>
    <row r="483" spans="1:9" ht="15.75" thickBot="1" x14ac:dyDescent="0.3">
      <c r="A483" s="112" t="s">
        <v>2755</v>
      </c>
      <c r="B483" s="112" t="s">
        <v>1953</v>
      </c>
      <c r="C483" s="121" t="s">
        <v>593</v>
      </c>
      <c r="D483" s="112">
        <v>3</v>
      </c>
      <c r="E483" s="112" t="s">
        <v>1915</v>
      </c>
      <c r="F483" s="113" t="s">
        <v>1954</v>
      </c>
      <c r="G483" s="112" t="s">
        <v>2752</v>
      </c>
      <c r="H483" s="112" t="s">
        <v>58</v>
      </c>
      <c r="I483" s="113" t="s">
        <v>1949</v>
      </c>
    </row>
    <row r="484" spans="1:9" ht="15.75" hidden="1" thickBot="1" x14ac:dyDescent="0.3">
      <c r="A484" s="111" t="s">
        <v>2756</v>
      </c>
      <c r="B484" s="109" t="s">
        <v>1953</v>
      </c>
      <c r="C484" s="121" t="s">
        <v>593</v>
      </c>
      <c r="D484" s="109">
        <v>3</v>
      </c>
      <c r="E484" s="109" t="s">
        <v>1915</v>
      </c>
      <c r="F484" s="109" t="s">
        <v>1954</v>
      </c>
      <c r="G484" s="109" t="s">
        <v>2752</v>
      </c>
      <c r="H484" s="109" t="s">
        <v>58</v>
      </c>
      <c r="I484" s="109"/>
    </row>
    <row r="485" spans="1:9" ht="26.25" thickBot="1" x14ac:dyDescent="0.3">
      <c r="A485" s="112" t="s">
        <v>599</v>
      </c>
      <c r="B485" s="112" t="s">
        <v>1895</v>
      </c>
      <c r="C485" s="121" t="s">
        <v>593</v>
      </c>
      <c r="D485" s="112">
        <v>3</v>
      </c>
      <c r="E485" s="112" t="s">
        <v>1915</v>
      </c>
      <c r="F485" s="113"/>
      <c r="G485" s="112" t="s">
        <v>2201</v>
      </c>
      <c r="H485" s="112" t="s">
        <v>2757</v>
      </c>
      <c r="I485" s="113" t="s">
        <v>2758</v>
      </c>
    </row>
    <row r="486" spans="1:9" ht="77.25" thickBot="1" x14ac:dyDescent="0.3">
      <c r="A486" s="109" t="s">
        <v>608</v>
      </c>
      <c r="B486" s="109" t="s">
        <v>1895</v>
      </c>
      <c r="C486" s="121" t="s">
        <v>593</v>
      </c>
      <c r="D486" s="109">
        <v>3</v>
      </c>
      <c r="E486" s="109"/>
      <c r="F486" s="114"/>
      <c r="G486" s="109" t="s">
        <v>2759</v>
      </c>
      <c r="H486" s="109" t="s">
        <v>2760</v>
      </c>
      <c r="I486" s="109" t="s">
        <v>2761</v>
      </c>
    </row>
    <row r="487" spans="1:9" ht="15.75" thickBot="1" x14ac:dyDescent="0.3">
      <c r="A487" s="112" t="s">
        <v>674</v>
      </c>
      <c r="B487" s="112" t="s">
        <v>1953</v>
      </c>
      <c r="C487" s="121" t="s">
        <v>593</v>
      </c>
      <c r="D487" s="112">
        <v>3</v>
      </c>
      <c r="E487" s="112" t="s">
        <v>1915</v>
      </c>
      <c r="F487" s="113"/>
      <c r="G487" s="112" t="s">
        <v>2762</v>
      </c>
      <c r="H487" s="112" t="s">
        <v>2763</v>
      </c>
      <c r="I487" s="113" t="s">
        <v>2764</v>
      </c>
    </row>
    <row r="488" spans="1:9" ht="77.25" thickBot="1" x14ac:dyDescent="0.3">
      <c r="A488" s="109" t="s">
        <v>761</v>
      </c>
      <c r="B488" s="109" t="s">
        <v>1953</v>
      </c>
      <c r="C488" s="121" t="s">
        <v>593</v>
      </c>
      <c r="D488" s="109">
        <v>3</v>
      </c>
      <c r="E488" s="109"/>
      <c r="F488" s="109" t="s">
        <v>2765</v>
      </c>
      <c r="G488" s="109" t="s">
        <v>2212</v>
      </c>
      <c r="H488" s="109" t="s">
        <v>2766</v>
      </c>
      <c r="I488" s="109" t="s">
        <v>2767</v>
      </c>
    </row>
    <row r="489" spans="1:9" ht="15.75" thickBot="1" x14ac:dyDescent="0.3">
      <c r="A489" s="112" t="s">
        <v>2768</v>
      </c>
      <c r="B489" s="112" t="s">
        <v>1953</v>
      </c>
      <c r="C489" s="121" t="s">
        <v>593</v>
      </c>
      <c r="D489" s="112">
        <v>3</v>
      </c>
      <c r="E489" s="112" t="s">
        <v>1915</v>
      </c>
      <c r="F489" s="113" t="s">
        <v>2033</v>
      </c>
      <c r="G489" s="112" t="s">
        <v>1950</v>
      </c>
      <c r="H489" s="112"/>
      <c r="I489" s="113" t="s">
        <v>2769</v>
      </c>
    </row>
    <row r="490" spans="1:9" ht="51.75" thickBot="1" x14ac:dyDescent="0.3">
      <c r="A490" s="109" t="s">
        <v>746</v>
      </c>
      <c r="B490" s="109" t="s">
        <v>1895</v>
      </c>
      <c r="C490" s="121" t="s">
        <v>593</v>
      </c>
      <c r="D490" s="109">
        <v>3</v>
      </c>
      <c r="E490" s="109"/>
      <c r="F490" s="114"/>
      <c r="G490" s="109" t="s">
        <v>2770</v>
      </c>
      <c r="H490" s="109" t="s">
        <v>2771</v>
      </c>
      <c r="I490" s="109" t="s">
        <v>2772</v>
      </c>
    </row>
    <row r="491" spans="1:9" ht="15.75" thickBot="1" x14ac:dyDescent="0.3">
      <c r="A491" s="112" t="s">
        <v>2773</v>
      </c>
      <c r="B491" s="112" t="s">
        <v>1895</v>
      </c>
      <c r="C491" s="121" t="s">
        <v>593</v>
      </c>
      <c r="D491" s="112">
        <v>3</v>
      </c>
      <c r="E491" s="112"/>
      <c r="F491" s="113"/>
      <c r="G491" s="112" t="s">
        <v>1965</v>
      </c>
      <c r="H491" s="112"/>
      <c r="I491" s="113" t="s">
        <v>1966</v>
      </c>
    </row>
    <row r="492" spans="1:9" ht="39" thickBot="1" x14ac:dyDescent="0.3">
      <c r="A492" s="109" t="s">
        <v>2774</v>
      </c>
      <c r="B492" s="109" t="s">
        <v>1953</v>
      </c>
      <c r="C492" s="121" t="s">
        <v>593</v>
      </c>
      <c r="D492" s="109">
        <v>3</v>
      </c>
      <c r="E492" s="109"/>
      <c r="F492" s="109" t="s">
        <v>1954</v>
      </c>
      <c r="G492" s="109" t="s">
        <v>2217</v>
      </c>
      <c r="H492" s="109" t="s">
        <v>2775</v>
      </c>
      <c r="I492" s="109" t="s">
        <v>2776</v>
      </c>
    </row>
    <row r="493" spans="1:9" ht="15.75" thickBot="1" x14ac:dyDescent="0.3">
      <c r="A493" s="112" t="s">
        <v>2777</v>
      </c>
      <c r="B493" s="112" t="s">
        <v>1953</v>
      </c>
      <c r="C493" s="121" t="s">
        <v>593</v>
      </c>
      <c r="D493" s="112">
        <v>3</v>
      </c>
      <c r="E493" s="112"/>
      <c r="F493" s="113"/>
      <c r="G493" s="112"/>
      <c r="H493" s="112"/>
      <c r="I493" s="113" t="s">
        <v>2778</v>
      </c>
    </row>
    <row r="494" spans="1:9" ht="15.75" hidden="1" thickBot="1" x14ac:dyDescent="0.3">
      <c r="A494" s="111" t="s">
        <v>2779</v>
      </c>
      <c r="B494" s="109" t="s">
        <v>1953</v>
      </c>
      <c r="C494" s="121" t="s">
        <v>593</v>
      </c>
      <c r="D494" s="109">
        <v>3</v>
      </c>
      <c r="E494" s="109"/>
      <c r="F494" s="109"/>
      <c r="G494" s="109"/>
      <c r="H494" s="109"/>
      <c r="I494" s="109"/>
    </row>
    <row r="495" spans="1:9" ht="15.75" hidden="1" thickBot="1" x14ac:dyDescent="0.3">
      <c r="A495" s="111" t="s">
        <v>2780</v>
      </c>
      <c r="B495" s="112" t="s">
        <v>1953</v>
      </c>
      <c r="C495" s="121" t="s">
        <v>593</v>
      </c>
      <c r="D495" s="112">
        <v>3</v>
      </c>
      <c r="E495" s="112"/>
      <c r="F495" s="113"/>
      <c r="G495" s="112"/>
      <c r="H495" s="112"/>
      <c r="I495" s="113"/>
    </row>
    <row r="496" spans="1:9" ht="15.75" hidden="1" thickBot="1" x14ac:dyDescent="0.3">
      <c r="A496" s="111" t="s">
        <v>2781</v>
      </c>
      <c r="B496" s="109" t="s">
        <v>1953</v>
      </c>
      <c r="C496" s="121" t="s">
        <v>593</v>
      </c>
      <c r="D496" s="109">
        <v>3</v>
      </c>
      <c r="E496" s="109"/>
      <c r="F496" s="109"/>
      <c r="G496" s="109"/>
      <c r="H496" s="109"/>
      <c r="I496" s="109"/>
    </row>
    <row r="497" spans="1:9" ht="15.75" thickBot="1" x14ac:dyDescent="0.3">
      <c r="A497" s="112" t="s">
        <v>2782</v>
      </c>
      <c r="B497" s="112" t="s">
        <v>1953</v>
      </c>
      <c r="C497" s="121" t="s">
        <v>593</v>
      </c>
      <c r="D497" s="112">
        <v>3</v>
      </c>
      <c r="E497" s="112"/>
      <c r="F497" s="113"/>
      <c r="G497" s="112"/>
      <c r="H497" s="112"/>
      <c r="I497" s="113" t="s">
        <v>2783</v>
      </c>
    </row>
    <row r="498" spans="1:9" ht="15.75" hidden="1" thickBot="1" x14ac:dyDescent="0.3">
      <c r="A498" s="111" t="s">
        <v>2784</v>
      </c>
      <c r="B498" s="109" t="s">
        <v>1953</v>
      </c>
      <c r="C498" s="121" t="s">
        <v>593</v>
      </c>
      <c r="D498" s="109">
        <v>3</v>
      </c>
      <c r="E498" s="109" t="s">
        <v>1915</v>
      </c>
      <c r="F498" s="109" t="s">
        <v>2785</v>
      </c>
      <c r="G498" s="109" t="s">
        <v>2041</v>
      </c>
      <c r="H498" s="109" t="s">
        <v>58</v>
      </c>
      <c r="I498" s="109"/>
    </row>
    <row r="499" spans="1:9" ht="15.75" hidden="1" thickBot="1" x14ac:dyDescent="0.3">
      <c r="A499" s="111" t="s">
        <v>2786</v>
      </c>
      <c r="B499" s="112" t="s">
        <v>1953</v>
      </c>
      <c r="C499" s="121" t="s">
        <v>593</v>
      </c>
      <c r="D499" s="112">
        <v>3</v>
      </c>
      <c r="E499" s="112" t="s">
        <v>1915</v>
      </c>
      <c r="F499" s="113"/>
      <c r="G499" s="112"/>
      <c r="H499" s="112"/>
      <c r="I499" s="113"/>
    </row>
    <row r="500" spans="1:9" ht="15.75" hidden="1" thickBot="1" x14ac:dyDescent="0.3">
      <c r="A500" s="111" t="s">
        <v>2787</v>
      </c>
      <c r="B500" s="109" t="s">
        <v>1953</v>
      </c>
      <c r="C500" s="121" t="s">
        <v>593</v>
      </c>
      <c r="D500" s="109">
        <v>3</v>
      </c>
      <c r="E500" s="109" t="s">
        <v>1915</v>
      </c>
      <c r="F500" s="109"/>
      <c r="G500" s="109"/>
      <c r="H500" s="109"/>
      <c r="I500" s="109"/>
    </row>
    <row r="501" spans="1:9" ht="15.75" hidden="1" thickBot="1" x14ac:dyDescent="0.3">
      <c r="A501" s="111" t="s">
        <v>2788</v>
      </c>
      <c r="B501" s="112" t="s">
        <v>1953</v>
      </c>
      <c r="C501" s="121" t="s">
        <v>593</v>
      </c>
      <c r="D501" s="112">
        <v>3</v>
      </c>
      <c r="E501" s="112" t="s">
        <v>1915</v>
      </c>
      <c r="F501" s="113"/>
      <c r="G501" s="112"/>
      <c r="H501" s="112"/>
      <c r="I501" s="113"/>
    </row>
    <row r="502" spans="1:9" ht="15.75" hidden="1" thickBot="1" x14ac:dyDescent="0.3">
      <c r="A502" s="111" t="s">
        <v>2789</v>
      </c>
      <c r="B502" s="109" t="s">
        <v>1953</v>
      </c>
      <c r="C502" s="121" t="s">
        <v>593</v>
      </c>
      <c r="D502" s="109">
        <v>3</v>
      </c>
      <c r="E502" s="109" t="s">
        <v>1915</v>
      </c>
      <c r="F502" s="109"/>
      <c r="G502" s="109"/>
      <c r="H502" s="109"/>
      <c r="I502" s="109"/>
    </row>
    <row r="503" spans="1:9" ht="15.75" hidden="1" thickBot="1" x14ac:dyDescent="0.3">
      <c r="A503" s="111" t="s">
        <v>2790</v>
      </c>
      <c r="B503" s="112" t="s">
        <v>1953</v>
      </c>
      <c r="C503" s="121" t="s">
        <v>593</v>
      </c>
      <c r="D503" s="112">
        <v>3</v>
      </c>
      <c r="E503" s="112" t="s">
        <v>1915</v>
      </c>
      <c r="F503" s="113"/>
      <c r="G503" s="112"/>
      <c r="H503" s="112"/>
      <c r="I503" s="113"/>
    </row>
    <row r="504" spans="1:9" ht="26.25" thickBot="1" x14ac:dyDescent="0.3">
      <c r="A504" s="109" t="s">
        <v>2791</v>
      </c>
      <c r="B504" s="109" t="s">
        <v>1953</v>
      </c>
      <c r="C504" s="121" t="s">
        <v>593</v>
      </c>
      <c r="D504" s="109">
        <v>3</v>
      </c>
      <c r="E504" s="109"/>
      <c r="F504" s="109"/>
      <c r="G504" s="109" t="s">
        <v>2792</v>
      </c>
      <c r="H504" s="109" t="s">
        <v>58</v>
      </c>
      <c r="I504" s="109" t="s">
        <v>2793</v>
      </c>
    </row>
    <row r="505" spans="1:9" ht="15.75" thickBot="1" x14ac:dyDescent="0.3">
      <c r="A505" s="112" t="s">
        <v>753</v>
      </c>
      <c r="B505" s="112" t="s">
        <v>1895</v>
      </c>
      <c r="C505" s="121" t="s">
        <v>593</v>
      </c>
      <c r="D505" s="112">
        <v>3</v>
      </c>
      <c r="E505" s="112" t="s">
        <v>1915</v>
      </c>
      <c r="F505" s="113" t="s">
        <v>2035</v>
      </c>
      <c r="G505" s="112" t="s">
        <v>1950</v>
      </c>
      <c r="H505" s="112"/>
      <c r="I505" s="113" t="s">
        <v>2794</v>
      </c>
    </row>
    <row r="506" spans="1:9" ht="15.75" thickBot="1" x14ac:dyDescent="0.3">
      <c r="A506" s="109" t="s">
        <v>620</v>
      </c>
      <c r="B506" s="109" t="s">
        <v>1895</v>
      </c>
      <c r="C506" s="121" t="s">
        <v>593</v>
      </c>
      <c r="D506" s="109">
        <v>3</v>
      </c>
      <c r="E506" s="109"/>
      <c r="F506" s="114"/>
      <c r="G506" s="109" t="s">
        <v>2162</v>
      </c>
      <c r="H506" s="109" t="s">
        <v>58</v>
      </c>
      <c r="I506" s="109" t="s">
        <v>2163</v>
      </c>
    </row>
    <row r="507" spans="1:9" ht="51.75" thickBot="1" x14ac:dyDescent="0.3">
      <c r="A507" s="112" t="s">
        <v>2795</v>
      </c>
      <c r="B507" s="112" t="s">
        <v>1895</v>
      </c>
      <c r="C507" s="121" t="s">
        <v>593</v>
      </c>
      <c r="D507" s="112">
        <v>3</v>
      </c>
      <c r="E507" s="112" t="s">
        <v>1915</v>
      </c>
      <c r="F507" s="113" t="s">
        <v>2038</v>
      </c>
      <c r="G507" s="112" t="s">
        <v>1950</v>
      </c>
      <c r="H507" s="112"/>
      <c r="I507" s="113" t="s">
        <v>2796</v>
      </c>
    </row>
    <row r="508" spans="1:9" ht="179.25" thickBot="1" x14ac:dyDescent="0.3">
      <c r="A508" s="109" t="s">
        <v>643</v>
      </c>
      <c r="B508" s="109" t="s">
        <v>1890</v>
      </c>
      <c r="C508" s="121" t="s">
        <v>593</v>
      </c>
      <c r="D508" s="109">
        <v>3</v>
      </c>
      <c r="E508" s="109"/>
      <c r="F508" s="109" t="s">
        <v>2797</v>
      </c>
      <c r="G508" s="109" t="s">
        <v>2228</v>
      </c>
      <c r="H508" s="109" t="s">
        <v>2798</v>
      </c>
      <c r="I508" s="109" t="s">
        <v>2799</v>
      </c>
    </row>
    <row r="509" spans="1:9" ht="15.75" thickBot="1" x14ac:dyDescent="0.3">
      <c r="A509" s="112" t="s">
        <v>619</v>
      </c>
      <c r="B509" s="112" t="s">
        <v>1895</v>
      </c>
      <c r="C509" s="121" t="s">
        <v>593</v>
      </c>
      <c r="D509" s="112">
        <v>3</v>
      </c>
      <c r="E509" s="112" t="s">
        <v>1915</v>
      </c>
      <c r="F509" s="113" t="s">
        <v>2038</v>
      </c>
      <c r="G509" s="112" t="s">
        <v>1950</v>
      </c>
      <c r="H509" s="112"/>
      <c r="I509" s="113" t="s">
        <v>2800</v>
      </c>
    </row>
    <row r="510" spans="1:9" ht="15.75" thickBot="1" x14ac:dyDescent="0.3">
      <c r="A510" s="109" t="s">
        <v>2801</v>
      </c>
      <c r="B510" s="109" t="s">
        <v>1895</v>
      </c>
      <c r="C510" s="121" t="s">
        <v>593</v>
      </c>
      <c r="D510" s="109">
        <v>3</v>
      </c>
      <c r="E510" s="109" t="s">
        <v>1915</v>
      </c>
      <c r="F510" s="114"/>
      <c r="G510" s="109" t="s">
        <v>2387</v>
      </c>
      <c r="H510" s="109"/>
      <c r="I510" s="109" t="s">
        <v>2692</v>
      </c>
    </row>
    <row r="511" spans="1:9" ht="26.25" thickBot="1" x14ac:dyDescent="0.3">
      <c r="A511" s="112" t="s">
        <v>2802</v>
      </c>
      <c r="B511" s="112" t="s">
        <v>1895</v>
      </c>
      <c r="C511" s="121" t="s">
        <v>593</v>
      </c>
      <c r="D511" s="112">
        <v>3</v>
      </c>
      <c r="E511" s="112"/>
      <c r="F511" s="113"/>
      <c r="G511" s="112" t="s">
        <v>2803</v>
      </c>
      <c r="H511" s="112" t="s">
        <v>2804</v>
      </c>
      <c r="I511" s="113" t="s">
        <v>2805</v>
      </c>
    </row>
    <row r="512" spans="1:9" ht="15.75" thickBot="1" x14ac:dyDescent="0.3">
      <c r="A512" s="109" t="s">
        <v>2806</v>
      </c>
      <c r="B512" s="109" t="s">
        <v>1895</v>
      </c>
      <c r="C512" s="121" t="s">
        <v>593</v>
      </c>
      <c r="D512" s="109">
        <v>3</v>
      </c>
      <c r="E512" s="109"/>
      <c r="F512" s="114"/>
      <c r="G512" s="109" t="s">
        <v>2803</v>
      </c>
      <c r="H512" s="109" t="s">
        <v>2807</v>
      </c>
      <c r="I512" s="109" t="s">
        <v>2597</v>
      </c>
    </row>
    <row r="513" spans="1:9" ht="26.25" thickBot="1" x14ac:dyDescent="0.3">
      <c r="A513" s="112" t="s">
        <v>2808</v>
      </c>
      <c r="B513" s="112" t="s">
        <v>1895</v>
      </c>
      <c r="C513" s="121" t="s">
        <v>593</v>
      </c>
      <c r="D513" s="112">
        <v>3</v>
      </c>
      <c r="E513" s="112"/>
      <c r="F513" s="113"/>
      <c r="G513" s="112" t="s">
        <v>2803</v>
      </c>
      <c r="H513" s="112" t="s">
        <v>2809</v>
      </c>
      <c r="I513" s="113" t="s">
        <v>2810</v>
      </c>
    </row>
    <row r="514" spans="1:9" ht="39" thickBot="1" x14ac:dyDescent="0.3">
      <c r="A514" s="109" t="s">
        <v>2811</v>
      </c>
      <c r="B514" s="109" t="s">
        <v>1895</v>
      </c>
      <c r="C514" s="121" t="s">
        <v>593</v>
      </c>
      <c r="D514" s="109">
        <v>3</v>
      </c>
      <c r="E514" s="109"/>
      <c r="F514" s="114"/>
      <c r="G514" s="109" t="s">
        <v>2803</v>
      </c>
      <c r="H514" s="109" t="s">
        <v>2812</v>
      </c>
      <c r="I514" s="109" t="s">
        <v>2813</v>
      </c>
    </row>
    <row r="515" spans="1:9" ht="26.25" thickBot="1" x14ac:dyDescent="0.3">
      <c r="A515" s="112" t="s">
        <v>2814</v>
      </c>
      <c r="B515" s="112" t="s">
        <v>1895</v>
      </c>
      <c r="C515" s="121" t="s">
        <v>593</v>
      </c>
      <c r="D515" s="112">
        <v>3</v>
      </c>
      <c r="E515" s="112"/>
      <c r="F515" s="113"/>
      <c r="G515" s="112" t="s">
        <v>2241</v>
      </c>
      <c r="H515" s="112" t="s">
        <v>2815</v>
      </c>
      <c r="I515" s="113" t="s">
        <v>2816</v>
      </c>
    </row>
    <row r="516" spans="1:9" ht="39" thickBot="1" x14ac:dyDescent="0.3">
      <c r="A516" s="109" t="s">
        <v>2817</v>
      </c>
      <c r="B516" s="109" t="s">
        <v>1895</v>
      </c>
      <c r="C516" s="121" t="s">
        <v>593</v>
      </c>
      <c r="D516" s="109">
        <v>3</v>
      </c>
      <c r="E516" s="109"/>
      <c r="F516" s="114"/>
      <c r="G516" s="109" t="s">
        <v>2241</v>
      </c>
      <c r="H516" s="109" t="s">
        <v>2818</v>
      </c>
      <c r="I516" s="109" t="s">
        <v>2819</v>
      </c>
    </row>
    <row r="517" spans="1:9" ht="39" thickBot="1" x14ac:dyDescent="0.3">
      <c r="A517" s="112" t="s">
        <v>2820</v>
      </c>
      <c r="B517" s="112" t="s">
        <v>1895</v>
      </c>
      <c r="C517" s="121" t="s">
        <v>593</v>
      </c>
      <c r="D517" s="112">
        <v>3</v>
      </c>
      <c r="E517" s="112"/>
      <c r="F517" s="113"/>
      <c r="G517" s="112" t="s">
        <v>2241</v>
      </c>
      <c r="H517" s="112" t="s">
        <v>2821</v>
      </c>
      <c r="I517" s="113" t="s">
        <v>2822</v>
      </c>
    </row>
    <row r="518" spans="1:9" ht="128.25" thickBot="1" x14ac:dyDescent="0.3">
      <c r="A518" s="109" t="s">
        <v>2823</v>
      </c>
      <c r="B518" s="109" t="s">
        <v>1953</v>
      </c>
      <c r="C518" s="121" t="s">
        <v>593</v>
      </c>
      <c r="D518" s="109">
        <v>3</v>
      </c>
      <c r="E518" s="109" t="s">
        <v>1915</v>
      </c>
      <c r="F518" s="109" t="s">
        <v>1954</v>
      </c>
      <c r="G518" s="109" t="s">
        <v>2241</v>
      </c>
      <c r="H518" s="109" t="s">
        <v>2824</v>
      </c>
      <c r="I518" s="109" t="s">
        <v>2825</v>
      </c>
    </row>
    <row r="519" spans="1:9" ht="15.75" thickBot="1" x14ac:dyDescent="0.3">
      <c r="A519" s="112" t="s">
        <v>2826</v>
      </c>
      <c r="B519" s="112" t="s">
        <v>1953</v>
      </c>
      <c r="C519" s="121" t="s">
        <v>593</v>
      </c>
      <c r="D519" s="112">
        <v>3</v>
      </c>
      <c r="E519" s="112" t="s">
        <v>1915</v>
      </c>
      <c r="F519" s="113"/>
      <c r="G519" s="112"/>
      <c r="H519" s="112"/>
      <c r="I519" s="113" t="s">
        <v>2827</v>
      </c>
    </row>
    <row r="520" spans="1:9" ht="64.5" thickBot="1" x14ac:dyDescent="0.3">
      <c r="A520" s="109" t="s">
        <v>2828</v>
      </c>
      <c r="B520" s="109" t="s">
        <v>1953</v>
      </c>
      <c r="C520" s="121" t="s">
        <v>593</v>
      </c>
      <c r="D520" s="109">
        <v>3</v>
      </c>
      <c r="E520" s="109" t="s">
        <v>1915</v>
      </c>
      <c r="F520" s="109"/>
      <c r="G520" s="109"/>
      <c r="H520" s="109"/>
      <c r="I520" s="109" t="s">
        <v>2829</v>
      </c>
    </row>
    <row r="521" spans="1:9" ht="15.75" hidden="1" thickBot="1" x14ac:dyDescent="0.3">
      <c r="A521" s="111" t="s">
        <v>2830</v>
      </c>
      <c r="B521" s="112" t="s">
        <v>1953</v>
      </c>
      <c r="C521" s="121" t="s">
        <v>593</v>
      </c>
      <c r="D521" s="112">
        <v>3</v>
      </c>
      <c r="E521" s="112" t="s">
        <v>1915</v>
      </c>
      <c r="F521" s="113"/>
      <c r="G521" s="112"/>
      <c r="H521" s="112"/>
      <c r="I521" s="113"/>
    </row>
    <row r="522" spans="1:9" ht="15.75" thickBot="1" x14ac:dyDescent="0.3">
      <c r="A522" s="109" t="s">
        <v>2831</v>
      </c>
      <c r="B522" s="109" t="s">
        <v>1953</v>
      </c>
      <c r="C522" s="121" t="s">
        <v>593</v>
      </c>
      <c r="D522" s="109">
        <v>3</v>
      </c>
      <c r="E522" s="109" t="s">
        <v>1915</v>
      </c>
      <c r="F522" s="109"/>
      <c r="G522" s="109"/>
      <c r="H522" s="109"/>
      <c r="I522" s="109" t="s">
        <v>2832</v>
      </c>
    </row>
    <row r="523" spans="1:9" ht="26.25" thickBot="1" x14ac:dyDescent="0.3">
      <c r="A523" s="112" t="s">
        <v>2833</v>
      </c>
      <c r="B523" s="112" t="s">
        <v>1953</v>
      </c>
      <c r="C523" s="121" t="s">
        <v>593</v>
      </c>
      <c r="D523" s="112">
        <v>3</v>
      </c>
      <c r="E523" s="112" t="s">
        <v>1915</v>
      </c>
      <c r="F523" s="113"/>
      <c r="G523" s="112"/>
      <c r="H523" s="112"/>
      <c r="I523" s="113" t="s">
        <v>2834</v>
      </c>
    </row>
    <row r="524" spans="1:9" ht="90" thickBot="1" x14ac:dyDescent="0.3">
      <c r="A524" s="109" t="s">
        <v>784</v>
      </c>
      <c r="B524" s="109" t="s">
        <v>1895</v>
      </c>
      <c r="C524" s="121" t="s">
        <v>593</v>
      </c>
      <c r="D524" s="109">
        <v>3</v>
      </c>
      <c r="E524" s="109"/>
      <c r="F524" s="114"/>
      <c r="G524" s="109" t="s">
        <v>2241</v>
      </c>
      <c r="H524" s="109" t="s">
        <v>2835</v>
      </c>
      <c r="I524" s="109" t="s">
        <v>2836</v>
      </c>
    </row>
    <row r="525" spans="1:9" ht="15.75" hidden="1" thickBot="1" x14ac:dyDescent="0.3">
      <c r="A525" s="111" t="s">
        <v>868</v>
      </c>
      <c r="B525" s="112" t="s">
        <v>1895</v>
      </c>
      <c r="C525" s="121" t="s">
        <v>593</v>
      </c>
      <c r="D525" s="112">
        <v>3</v>
      </c>
      <c r="E525" s="112" t="s">
        <v>1915</v>
      </c>
      <c r="F525" s="113" t="s">
        <v>2035</v>
      </c>
      <c r="G525" s="112" t="s">
        <v>1950</v>
      </c>
      <c r="H525" s="112"/>
      <c r="I525" s="113"/>
    </row>
    <row r="526" spans="1:9" ht="15.75" thickBot="1" x14ac:dyDescent="0.3">
      <c r="A526" s="109" t="s">
        <v>790</v>
      </c>
      <c r="B526" s="109" t="s">
        <v>1895</v>
      </c>
      <c r="C526" s="121" t="s">
        <v>593</v>
      </c>
      <c r="D526" s="109">
        <v>3</v>
      </c>
      <c r="E526" s="109" t="s">
        <v>1915</v>
      </c>
      <c r="F526" s="109"/>
      <c r="G526" s="109" t="s">
        <v>2837</v>
      </c>
      <c r="H526" s="109" t="s">
        <v>2763</v>
      </c>
      <c r="I526" s="109" t="s">
        <v>2837</v>
      </c>
    </row>
    <row r="527" spans="1:9" ht="15.75" thickBot="1" x14ac:dyDescent="0.3">
      <c r="A527" s="112" t="s">
        <v>2838</v>
      </c>
      <c r="B527" s="112" t="s">
        <v>1953</v>
      </c>
      <c r="C527" s="121" t="s">
        <v>593</v>
      </c>
      <c r="D527" s="112">
        <v>3</v>
      </c>
      <c r="E527" s="112" t="s">
        <v>1915</v>
      </c>
      <c r="F527" s="113"/>
      <c r="G527" s="112" t="s">
        <v>2837</v>
      </c>
      <c r="H527" s="112" t="s">
        <v>2839</v>
      </c>
      <c r="I527" s="113" t="s">
        <v>2837</v>
      </c>
    </row>
    <row r="528" spans="1:9" ht="15.75" hidden="1" thickBot="1" x14ac:dyDescent="0.3">
      <c r="A528" s="111" t="s">
        <v>2840</v>
      </c>
      <c r="B528" s="109" t="s">
        <v>1895</v>
      </c>
      <c r="C528" s="121" t="s">
        <v>593</v>
      </c>
      <c r="D528" s="109">
        <v>3</v>
      </c>
      <c r="E528" s="109" t="s">
        <v>1915</v>
      </c>
      <c r="F528" s="114"/>
      <c r="G528" s="109" t="s">
        <v>2264</v>
      </c>
      <c r="H528" s="109" t="s">
        <v>58</v>
      </c>
      <c r="I528" s="109"/>
    </row>
    <row r="529" spans="1:9" ht="15.75" thickBot="1" x14ac:dyDescent="0.3">
      <c r="A529" s="112" t="s">
        <v>2841</v>
      </c>
      <c r="B529" s="112" t="s">
        <v>1895</v>
      </c>
      <c r="C529" s="121" t="s">
        <v>593</v>
      </c>
      <c r="D529" s="112">
        <v>3</v>
      </c>
      <c r="E529" s="112" t="s">
        <v>1915</v>
      </c>
      <c r="F529" s="113"/>
      <c r="G529" s="112" t="s">
        <v>2842</v>
      </c>
      <c r="H529" s="112"/>
      <c r="I529" s="113" t="s">
        <v>2843</v>
      </c>
    </row>
    <row r="530" spans="1:9" ht="77.25" thickBot="1" x14ac:dyDescent="0.3">
      <c r="A530" s="109" t="s">
        <v>663</v>
      </c>
      <c r="B530" s="109" t="s">
        <v>1895</v>
      </c>
      <c r="C530" s="121" t="s">
        <v>593</v>
      </c>
      <c r="D530" s="109">
        <v>3</v>
      </c>
      <c r="E530" s="109" t="s">
        <v>1915</v>
      </c>
      <c r="F530" s="114"/>
      <c r="G530" s="109" t="s">
        <v>2248</v>
      </c>
      <c r="H530" s="109" t="s">
        <v>2844</v>
      </c>
      <c r="I530" s="109" t="s">
        <v>2845</v>
      </c>
    </row>
    <row r="531" spans="1:9" ht="15.75" thickBot="1" x14ac:dyDescent="0.3">
      <c r="A531" s="112" t="s">
        <v>2846</v>
      </c>
      <c r="B531" s="112" t="s">
        <v>1895</v>
      </c>
      <c r="C531" s="121" t="s">
        <v>593</v>
      </c>
      <c r="D531" s="112">
        <v>3</v>
      </c>
      <c r="E531" s="112" t="s">
        <v>1915</v>
      </c>
      <c r="F531" s="113"/>
      <c r="G531" s="112" t="s">
        <v>2847</v>
      </c>
      <c r="H531" s="112" t="s">
        <v>58</v>
      </c>
      <c r="I531" s="113" t="s">
        <v>2848</v>
      </c>
    </row>
    <row r="532" spans="1:9" ht="26.25" thickBot="1" x14ac:dyDescent="0.3">
      <c r="A532" s="109" t="s">
        <v>2849</v>
      </c>
      <c r="B532" s="109" t="s">
        <v>1953</v>
      </c>
      <c r="C532" s="121" t="s">
        <v>593</v>
      </c>
      <c r="D532" s="109">
        <v>3</v>
      </c>
      <c r="E532" s="109"/>
      <c r="F532" s="109" t="s">
        <v>2850</v>
      </c>
      <c r="G532" s="109" t="s">
        <v>2248</v>
      </c>
      <c r="H532" s="109" t="s">
        <v>2851</v>
      </c>
      <c r="I532" s="109" t="s">
        <v>2852</v>
      </c>
    </row>
    <row r="533" spans="1:9" ht="15.75" hidden="1" thickBot="1" x14ac:dyDescent="0.3">
      <c r="A533" s="111" t="s">
        <v>2853</v>
      </c>
      <c r="B533" s="112" t="s">
        <v>1953</v>
      </c>
      <c r="C533" s="121" t="s">
        <v>593</v>
      </c>
      <c r="D533" s="112">
        <v>3</v>
      </c>
      <c r="E533" s="112"/>
      <c r="F533" s="113"/>
      <c r="G533" s="112"/>
      <c r="H533" s="112"/>
      <c r="I533" s="113"/>
    </row>
    <row r="534" spans="1:9" ht="15.75" hidden="1" thickBot="1" x14ac:dyDescent="0.3">
      <c r="A534" s="111" t="s">
        <v>2854</v>
      </c>
      <c r="B534" s="109" t="s">
        <v>1953</v>
      </c>
      <c r="C534" s="121" t="s">
        <v>593</v>
      </c>
      <c r="D534" s="109">
        <v>3</v>
      </c>
      <c r="E534" s="109"/>
      <c r="F534" s="109"/>
      <c r="G534" s="109"/>
      <c r="H534" s="109"/>
      <c r="I534" s="109"/>
    </row>
    <row r="535" spans="1:9" ht="15.75" thickBot="1" x14ac:dyDescent="0.3">
      <c r="A535" s="112" t="s">
        <v>2855</v>
      </c>
      <c r="B535" s="112" t="s">
        <v>1953</v>
      </c>
      <c r="C535" s="121" t="s">
        <v>593</v>
      </c>
      <c r="D535" s="112">
        <v>3</v>
      </c>
      <c r="E535" s="112"/>
      <c r="F535" s="113"/>
      <c r="G535" s="112"/>
      <c r="H535" s="112"/>
      <c r="I535" s="113" t="s">
        <v>2856</v>
      </c>
    </row>
    <row r="536" spans="1:9" ht="15.75" hidden="1" thickBot="1" x14ac:dyDescent="0.3">
      <c r="A536" s="111" t="s">
        <v>2857</v>
      </c>
      <c r="B536" s="109" t="s">
        <v>1953</v>
      </c>
      <c r="C536" s="121" t="s">
        <v>593</v>
      </c>
      <c r="D536" s="109">
        <v>3</v>
      </c>
      <c r="E536" s="109"/>
      <c r="F536" s="109"/>
      <c r="G536" s="109"/>
      <c r="H536" s="109"/>
      <c r="I536" s="109"/>
    </row>
    <row r="537" spans="1:9" ht="15.75" hidden="1" thickBot="1" x14ac:dyDescent="0.3">
      <c r="A537" s="111" t="s">
        <v>2858</v>
      </c>
      <c r="B537" s="112" t="s">
        <v>1953</v>
      </c>
      <c r="C537" s="121" t="s">
        <v>593</v>
      </c>
      <c r="D537" s="112">
        <v>3</v>
      </c>
      <c r="E537" s="112"/>
      <c r="F537" s="113"/>
      <c r="G537" s="112"/>
      <c r="H537" s="112"/>
      <c r="I537" s="113"/>
    </row>
    <row r="538" spans="1:9" ht="15.75" thickBot="1" x14ac:dyDescent="0.3">
      <c r="A538" s="109" t="s">
        <v>2859</v>
      </c>
      <c r="B538" s="109" t="s">
        <v>1953</v>
      </c>
      <c r="C538" s="121" t="s">
        <v>593</v>
      </c>
      <c r="D538" s="109">
        <v>3</v>
      </c>
      <c r="E538" s="109"/>
      <c r="F538" s="109"/>
      <c r="G538" s="109"/>
      <c r="H538" s="109"/>
      <c r="I538" s="109" t="s">
        <v>2832</v>
      </c>
    </row>
    <row r="539" spans="1:9" ht="15.75" hidden="1" thickBot="1" x14ac:dyDescent="0.3">
      <c r="A539" s="111" t="s">
        <v>2860</v>
      </c>
      <c r="B539" s="112" t="s">
        <v>1953</v>
      </c>
      <c r="C539" s="121" t="s">
        <v>593</v>
      </c>
      <c r="D539" s="112">
        <v>3</v>
      </c>
      <c r="E539" s="112"/>
      <c r="F539" s="113"/>
      <c r="G539" s="112"/>
      <c r="H539" s="112"/>
      <c r="I539" s="113"/>
    </row>
    <row r="540" spans="1:9" ht="15.75" hidden="1" thickBot="1" x14ac:dyDescent="0.3">
      <c r="A540" s="111" t="s">
        <v>2861</v>
      </c>
      <c r="B540" s="109" t="s">
        <v>1953</v>
      </c>
      <c r="C540" s="121" t="s">
        <v>593</v>
      </c>
      <c r="D540" s="109">
        <v>3</v>
      </c>
      <c r="E540" s="109"/>
      <c r="F540" s="109"/>
      <c r="G540" s="109"/>
      <c r="H540" s="109"/>
      <c r="I540" s="109"/>
    </row>
    <row r="541" spans="1:9" ht="39" thickBot="1" x14ac:dyDescent="0.3">
      <c r="A541" s="112" t="s">
        <v>603</v>
      </c>
      <c r="B541" s="112" t="s">
        <v>1890</v>
      </c>
      <c r="C541" s="121" t="s">
        <v>593</v>
      </c>
      <c r="D541" s="112">
        <v>3</v>
      </c>
      <c r="E541" s="112"/>
      <c r="F541" s="113" t="s">
        <v>2862</v>
      </c>
      <c r="G541" s="112" t="s">
        <v>2248</v>
      </c>
      <c r="H541" s="112" t="s">
        <v>2863</v>
      </c>
      <c r="I541" s="113" t="s">
        <v>2864</v>
      </c>
    </row>
    <row r="542" spans="1:9" ht="15.75" thickBot="1" x14ac:dyDescent="0.3">
      <c r="A542" s="109" t="s">
        <v>2865</v>
      </c>
      <c r="B542" s="109" t="s">
        <v>2005</v>
      </c>
      <c r="C542" s="121" t="s">
        <v>593</v>
      </c>
      <c r="D542" s="109">
        <v>3</v>
      </c>
      <c r="E542" s="109" t="s">
        <v>1915</v>
      </c>
      <c r="F542" s="109"/>
      <c r="G542" s="109" t="s">
        <v>2170</v>
      </c>
      <c r="H542" s="109"/>
      <c r="I542" s="109" t="s">
        <v>2866</v>
      </c>
    </row>
    <row r="543" spans="1:9" ht="15.75" hidden="1" thickBot="1" x14ac:dyDescent="0.3">
      <c r="A543" s="111" t="s">
        <v>858</v>
      </c>
      <c r="B543" s="112" t="s">
        <v>1895</v>
      </c>
      <c r="C543" s="121" t="s">
        <v>593</v>
      </c>
      <c r="D543" s="112">
        <v>3</v>
      </c>
      <c r="E543" s="112" t="s">
        <v>1915</v>
      </c>
      <c r="F543" s="113" t="s">
        <v>2035</v>
      </c>
      <c r="G543" s="112" t="s">
        <v>1950</v>
      </c>
      <c r="H543" s="112"/>
      <c r="I543" s="113"/>
    </row>
    <row r="544" spans="1:9" ht="26.25" thickBot="1" x14ac:dyDescent="0.3">
      <c r="A544" s="109" t="s">
        <v>658</v>
      </c>
      <c r="B544" s="109" t="s">
        <v>1895</v>
      </c>
      <c r="C544" s="121" t="s">
        <v>593</v>
      </c>
      <c r="D544" s="109">
        <v>3</v>
      </c>
      <c r="E544" s="109" t="s">
        <v>1915</v>
      </c>
      <c r="F544" s="114"/>
      <c r="G544" s="109" t="s">
        <v>2162</v>
      </c>
      <c r="H544" s="109" t="s">
        <v>58</v>
      </c>
      <c r="I544" s="109" t="s">
        <v>2867</v>
      </c>
    </row>
    <row r="545" spans="1:9" ht="26.25" thickBot="1" x14ac:dyDescent="0.3">
      <c r="A545" s="112" t="s">
        <v>725</v>
      </c>
      <c r="B545" s="112" t="s">
        <v>1895</v>
      </c>
      <c r="C545" s="121" t="s">
        <v>593</v>
      </c>
      <c r="D545" s="112">
        <v>3</v>
      </c>
      <c r="E545" s="112" t="s">
        <v>1915</v>
      </c>
      <c r="F545" s="113"/>
      <c r="G545" s="112" t="s">
        <v>2308</v>
      </c>
      <c r="H545" s="112" t="s">
        <v>2868</v>
      </c>
      <c r="I545" s="113" t="s">
        <v>2869</v>
      </c>
    </row>
    <row r="546" spans="1:9" ht="64.5" thickBot="1" x14ac:dyDescent="0.3">
      <c r="A546" s="109" t="s">
        <v>798</v>
      </c>
      <c r="B546" s="109" t="s">
        <v>1895</v>
      </c>
      <c r="C546" s="121" t="s">
        <v>593</v>
      </c>
      <c r="D546" s="109">
        <v>3</v>
      </c>
      <c r="E546" s="109"/>
      <c r="F546" s="114"/>
      <c r="G546" s="109" t="s">
        <v>2308</v>
      </c>
      <c r="H546" s="109" t="s">
        <v>2870</v>
      </c>
      <c r="I546" s="109" t="s">
        <v>2871</v>
      </c>
    </row>
    <row r="547" spans="1:9" ht="15.75" thickBot="1" x14ac:dyDescent="0.3">
      <c r="A547" s="112" t="s">
        <v>2872</v>
      </c>
      <c r="B547" s="112" t="s">
        <v>1895</v>
      </c>
      <c r="C547" s="121" t="s">
        <v>593</v>
      </c>
      <c r="D547" s="112">
        <v>3</v>
      </c>
      <c r="E547" s="112"/>
      <c r="F547" s="113"/>
      <c r="G547" s="112" t="s">
        <v>1946</v>
      </c>
      <c r="H547" s="112" t="s">
        <v>58</v>
      </c>
      <c r="I547" s="113" t="s">
        <v>2873</v>
      </c>
    </row>
    <row r="548" spans="1:9" ht="51.75" thickBot="1" x14ac:dyDescent="0.3">
      <c r="A548" s="109" t="s">
        <v>2874</v>
      </c>
      <c r="B548" s="109" t="s">
        <v>1895</v>
      </c>
      <c r="C548" s="121" t="s">
        <v>593</v>
      </c>
      <c r="D548" s="109">
        <v>3</v>
      </c>
      <c r="E548" s="109"/>
      <c r="F548" s="114"/>
      <c r="G548" s="109" t="s">
        <v>2308</v>
      </c>
      <c r="H548" s="109" t="s">
        <v>2875</v>
      </c>
      <c r="I548" s="109" t="s">
        <v>2876</v>
      </c>
    </row>
    <row r="549" spans="1:9" ht="15.75" thickBot="1" x14ac:dyDescent="0.3">
      <c r="A549" s="112" t="s">
        <v>1862</v>
      </c>
      <c r="B549" s="112" t="s">
        <v>1895</v>
      </c>
      <c r="C549" s="121" t="s">
        <v>593</v>
      </c>
      <c r="D549" s="112">
        <v>3</v>
      </c>
      <c r="E549" s="112"/>
      <c r="F549" s="113"/>
      <c r="G549" s="112" t="s">
        <v>2877</v>
      </c>
      <c r="H549" s="112"/>
      <c r="I549" s="113" t="s">
        <v>2878</v>
      </c>
    </row>
    <row r="550" spans="1:9" ht="26.25" thickBot="1" x14ac:dyDescent="0.3">
      <c r="A550" s="109" t="s">
        <v>2879</v>
      </c>
      <c r="B550" s="109" t="s">
        <v>1895</v>
      </c>
      <c r="C550" s="121" t="s">
        <v>593</v>
      </c>
      <c r="D550" s="109">
        <v>3</v>
      </c>
      <c r="E550" s="109"/>
      <c r="F550" s="114"/>
      <c r="G550" s="109" t="s">
        <v>2313</v>
      </c>
      <c r="H550" s="109" t="s">
        <v>2880</v>
      </c>
      <c r="I550" s="109" t="s">
        <v>2881</v>
      </c>
    </row>
    <row r="551" spans="1:9" ht="141" thickBot="1" x14ac:dyDescent="0.3">
      <c r="A551" s="112" t="s">
        <v>2882</v>
      </c>
      <c r="B551" s="112" t="s">
        <v>1895</v>
      </c>
      <c r="C551" s="121" t="s">
        <v>593</v>
      </c>
      <c r="D551" s="112">
        <v>3</v>
      </c>
      <c r="E551" s="112"/>
      <c r="F551" s="113"/>
      <c r="G551" s="112" t="s">
        <v>2313</v>
      </c>
      <c r="H551" s="112" t="s">
        <v>2880</v>
      </c>
      <c r="I551" s="113" t="s">
        <v>2883</v>
      </c>
    </row>
    <row r="552" spans="1:9" ht="26.25" thickBot="1" x14ac:dyDescent="0.3">
      <c r="A552" s="109" t="s">
        <v>691</v>
      </c>
      <c r="B552" s="109" t="s">
        <v>1895</v>
      </c>
      <c r="C552" s="121" t="s">
        <v>593</v>
      </c>
      <c r="D552" s="109">
        <v>3</v>
      </c>
      <c r="E552" s="109"/>
      <c r="F552" s="114"/>
      <c r="G552" s="109" t="s">
        <v>2313</v>
      </c>
      <c r="H552" s="109" t="s">
        <v>2884</v>
      </c>
      <c r="I552" s="109" t="s">
        <v>2885</v>
      </c>
    </row>
    <row r="553" spans="1:9" ht="39" thickBot="1" x14ac:dyDescent="0.3">
      <c r="A553" s="112" t="s">
        <v>2886</v>
      </c>
      <c r="B553" s="112" t="s">
        <v>1895</v>
      </c>
      <c r="C553" s="121" t="s">
        <v>593</v>
      </c>
      <c r="D553" s="112">
        <v>3</v>
      </c>
      <c r="E553" s="112" t="s">
        <v>1915</v>
      </c>
      <c r="F553" s="113" t="s">
        <v>2046</v>
      </c>
      <c r="G553" s="112" t="s">
        <v>2319</v>
      </c>
      <c r="H553" s="112" t="s">
        <v>2887</v>
      </c>
      <c r="I553" s="113" t="s">
        <v>2888</v>
      </c>
    </row>
    <row r="554" spans="1:9" ht="64.5" thickBot="1" x14ac:dyDescent="0.3">
      <c r="A554" s="109" t="s">
        <v>2889</v>
      </c>
      <c r="B554" s="109" t="s">
        <v>1895</v>
      </c>
      <c r="C554" s="121" t="s">
        <v>593</v>
      </c>
      <c r="D554" s="109">
        <v>3</v>
      </c>
      <c r="E554" s="109" t="s">
        <v>1915</v>
      </c>
      <c r="F554" s="109" t="s">
        <v>2046</v>
      </c>
      <c r="G554" s="109" t="s">
        <v>2319</v>
      </c>
      <c r="H554" s="109" t="s">
        <v>2890</v>
      </c>
      <c r="I554" s="109" t="s">
        <v>2891</v>
      </c>
    </row>
    <row r="555" spans="1:9" ht="51.75" thickBot="1" x14ac:dyDescent="0.3">
      <c r="A555" s="112" t="s">
        <v>2892</v>
      </c>
      <c r="B555" s="112" t="s">
        <v>1895</v>
      </c>
      <c r="C555" s="121" t="s">
        <v>593</v>
      </c>
      <c r="D555" s="112">
        <v>3</v>
      </c>
      <c r="E555" s="112" t="s">
        <v>1915</v>
      </c>
      <c r="F555" s="113"/>
      <c r="G555" s="112" t="s">
        <v>2319</v>
      </c>
      <c r="H555" s="112" t="s">
        <v>2893</v>
      </c>
      <c r="I555" s="113" t="s">
        <v>2894</v>
      </c>
    </row>
    <row r="556" spans="1:9" ht="15.75" hidden="1" thickBot="1" x14ac:dyDescent="0.3">
      <c r="A556" s="111" t="s">
        <v>2895</v>
      </c>
      <c r="B556" s="109" t="s">
        <v>1895</v>
      </c>
      <c r="C556" s="121" t="s">
        <v>593</v>
      </c>
      <c r="D556" s="109">
        <v>3</v>
      </c>
      <c r="E556" s="109" t="s">
        <v>1915</v>
      </c>
      <c r="F556" s="114"/>
      <c r="G556" s="109" t="s">
        <v>2837</v>
      </c>
      <c r="H556" s="109" t="s">
        <v>2763</v>
      </c>
      <c r="I556" s="109"/>
    </row>
    <row r="557" spans="1:9" ht="15.75" hidden="1" thickBot="1" x14ac:dyDescent="0.3">
      <c r="A557" s="111" t="s">
        <v>2896</v>
      </c>
      <c r="B557" s="112" t="s">
        <v>1895</v>
      </c>
      <c r="C557" s="121" t="s">
        <v>593</v>
      </c>
      <c r="D557" s="112">
        <v>3</v>
      </c>
      <c r="E557" s="112" t="s">
        <v>1915</v>
      </c>
      <c r="F557" s="113"/>
      <c r="G557" s="112" t="s">
        <v>2837</v>
      </c>
      <c r="H557" s="112" t="s">
        <v>2763</v>
      </c>
      <c r="I557" s="113"/>
    </row>
    <row r="558" spans="1:9" ht="15.75" hidden="1" thickBot="1" x14ac:dyDescent="0.3">
      <c r="A558" s="111" t="s">
        <v>2897</v>
      </c>
      <c r="B558" s="109" t="s">
        <v>1895</v>
      </c>
      <c r="C558" s="121" t="s">
        <v>593</v>
      </c>
      <c r="D558" s="109">
        <v>3</v>
      </c>
      <c r="E558" s="109" t="s">
        <v>1915</v>
      </c>
      <c r="F558" s="114"/>
      <c r="G558" s="109" t="s">
        <v>2837</v>
      </c>
      <c r="H558" s="109" t="s">
        <v>2763</v>
      </c>
      <c r="I558" s="109"/>
    </row>
    <row r="559" spans="1:9" ht="153.75" thickBot="1" x14ac:dyDescent="0.3">
      <c r="A559" s="112" t="s">
        <v>2898</v>
      </c>
      <c r="B559" s="112" t="s">
        <v>1895</v>
      </c>
      <c r="C559" s="121" t="s">
        <v>593</v>
      </c>
      <c r="D559" s="112">
        <v>3</v>
      </c>
      <c r="E559" s="112" t="s">
        <v>1915</v>
      </c>
      <c r="F559" s="113"/>
      <c r="G559" s="112" t="s">
        <v>2319</v>
      </c>
      <c r="H559" s="112" t="s">
        <v>2899</v>
      </c>
      <c r="I559" s="113" t="s">
        <v>2900</v>
      </c>
    </row>
    <row r="560" spans="1:9" ht="15.75" hidden="1" thickBot="1" x14ac:dyDescent="0.3">
      <c r="A560" s="111" t="s">
        <v>2901</v>
      </c>
      <c r="B560" s="109" t="s">
        <v>1895</v>
      </c>
      <c r="C560" s="121" t="s">
        <v>593</v>
      </c>
      <c r="D560" s="109">
        <v>3</v>
      </c>
      <c r="E560" s="109" t="s">
        <v>1915</v>
      </c>
      <c r="F560" s="114"/>
      <c r="G560" s="109" t="s">
        <v>2837</v>
      </c>
      <c r="H560" s="109" t="s">
        <v>2763</v>
      </c>
      <c r="I560" s="109"/>
    </row>
    <row r="561" spans="1:9" ht="26.25" thickBot="1" x14ac:dyDescent="0.3">
      <c r="A561" s="112" t="s">
        <v>2902</v>
      </c>
      <c r="B561" s="112" t="s">
        <v>1895</v>
      </c>
      <c r="C561" s="121" t="s">
        <v>593</v>
      </c>
      <c r="D561" s="112">
        <v>3</v>
      </c>
      <c r="E561" s="112" t="s">
        <v>1915</v>
      </c>
      <c r="F561" s="113"/>
      <c r="G561" s="112" t="s">
        <v>2319</v>
      </c>
      <c r="H561" s="112" t="s">
        <v>2903</v>
      </c>
      <c r="I561" s="113" t="s">
        <v>2904</v>
      </c>
    </row>
    <row r="562" spans="1:9" ht="15.75" hidden="1" thickBot="1" x14ac:dyDescent="0.3">
      <c r="A562" s="111" t="s">
        <v>2905</v>
      </c>
      <c r="B562" s="109" t="s">
        <v>1895</v>
      </c>
      <c r="C562" s="121" t="s">
        <v>593</v>
      </c>
      <c r="D562" s="109">
        <v>3</v>
      </c>
      <c r="E562" s="109" t="s">
        <v>1915</v>
      </c>
      <c r="F562" s="114"/>
      <c r="G562" s="109" t="s">
        <v>2837</v>
      </c>
      <c r="H562" s="109" t="s">
        <v>2763</v>
      </c>
      <c r="I562" s="109"/>
    </row>
    <row r="563" spans="1:9" ht="15.75" hidden="1" thickBot="1" x14ac:dyDescent="0.3">
      <c r="A563" s="111" t="s">
        <v>2906</v>
      </c>
      <c r="B563" s="112" t="s">
        <v>1895</v>
      </c>
      <c r="C563" s="121" t="s">
        <v>593</v>
      </c>
      <c r="D563" s="112">
        <v>3</v>
      </c>
      <c r="E563" s="112" t="s">
        <v>1915</v>
      </c>
      <c r="F563" s="113"/>
      <c r="G563" s="112" t="s">
        <v>2837</v>
      </c>
      <c r="H563" s="112" t="s">
        <v>2763</v>
      </c>
      <c r="I563" s="113"/>
    </row>
    <row r="564" spans="1:9" ht="15.75" hidden="1" thickBot="1" x14ac:dyDescent="0.3">
      <c r="A564" s="111" t="s">
        <v>2907</v>
      </c>
      <c r="B564" s="109" t="s">
        <v>1895</v>
      </c>
      <c r="C564" s="121" t="s">
        <v>593</v>
      </c>
      <c r="D564" s="109">
        <v>3</v>
      </c>
      <c r="E564" s="109" t="s">
        <v>1915</v>
      </c>
      <c r="F564" s="114"/>
      <c r="G564" s="109" t="s">
        <v>2319</v>
      </c>
      <c r="H564" s="109" t="s">
        <v>2908</v>
      </c>
      <c r="I564" s="109"/>
    </row>
    <row r="565" spans="1:9" ht="39" thickBot="1" x14ac:dyDescent="0.3">
      <c r="A565" s="112" t="s">
        <v>787</v>
      </c>
      <c r="B565" s="112" t="s">
        <v>1895</v>
      </c>
      <c r="C565" s="121" t="s">
        <v>593</v>
      </c>
      <c r="D565" s="112">
        <v>3</v>
      </c>
      <c r="E565" s="112"/>
      <c r="F565" s="113"/>
      <c r="G565" s="112" t="s">
        <v>2909</v>
      </c>
      <c r="H565" s="112" t="s">
        <v>2910</v>
      </c>
      <c r="I565" s="113" t="s">
        <v>2911</v>
      </c>
    </row>
    <row r="566" spans="1:9" ht="26.25" thickBot="1" x14ac:dyDescent="0.3">
      <c r="A566" s="109" t="s">
        <v>2912</v>
      </c>
      <c r="B566" s="109" t="s">
        <v>1895</v>
      </c>
      <c r="C566" s="121" t="s">
        <v>593</v>
      </c>
      <c r="D566" s="109">
        <v>3</v>
      </c>
      <c r="E566" s="109" t="s">
        <v>1915</v>
      </c>
      <c r="F566" s="114"/>
      <c r="G566" s="109" t="s">
        <v>2387</v>
      </c>
      <c r="H566" s="109"/>
      <c r="I566" s="109" t="s">
        <v>2913</v>
      </c>
    </row>
    <row r="567" spans="1:9" ht="15.75" thickBot="1" x14ac:dyDescent="0.3">
      <c r="A567" s="112" t="s">
        <v>2914</v>
      </c>
      <c r="B567" s="112" t="s">
        <v>1890</v>
      </c>
      <c r="C567" s="121" t="s">
        <v>593</v>
      </c>
      <c r="D567" s="112">
        <v>3</v>
      </c>
      <c r="E567" s="112" t="s">
        <v>1915</v>
      </c>
      <c r="F567" s="113"/>
      <c r="G567" s="112" t="s">
        <v>2837</v>
      </c>
      <c r="H567" s="112" t="s">
        <v>2763</v>
      </c>
      <c r="I567" s="113" t="s">
        <v>2837</v>
      </c>
    </row>
    <row r="568" spans="1:9" ht="15.75" hidden="1" thickBot="1" x14ac:dyDescent="0.3">
      <c r="A568" s="111" t="s">
        <v>820</v>
      </c>
      <c r="B568" s="109" t="s">
        <v>1895</v>
      </c>
      <c r="C568" s="121" t="s">
        <v>593</v>
      </c>
      <c r="D568" s="109">
        <v>3</v>
      </c>
      <c r="E568" s="109" t="s">
        <v>1915</v>
      </c>
      <c r="F568" s="109" t="s">
        <v>2035</v>
      </c>
      <c r="G568" s="109" t="s">
        <v>1950</v>
      </c>
      <c r="H568" s="109"/>
      <c r="I568" s="109"/>
    </row>
    <row r="569" spans="1:9" ht="15.75" thickBot="1" x14ac:dyDescent="0.3">
      <c r="A569" s="112" t="s">
        <v>2915</v>
      </c>
      <c r="B569" s="112" t="s">
        <v>1895</v>
      </c>
      <c r="C569" s="121" t="s">
        <v>593</v>
      </c>
      <c r="D569" s="112">
        <v>3</v>
      </c>
      <c r="E569" s="112"/>
      <c r="F569" s="113"/>
      <c r="G569" s="112" t="s">
        <v>2162</v>
      </c>
      <c r="H569" s="112" t="s">
        <v>58</v>
      </c>
      <c r="I569" s="113" t="s">
        <v>2101</v>
      </c>
    </row>
    <row r="570" spans="1:9" ht="15.75" hidden="1" thickBot="1" x14ac:dyDescent="0.3">
      <c r="A570" s="111" t="s">
        <v>661</v>
      </c>
      <c r="B570" s="109" t="s">
        <v>1895</v>
      </c>
      <c r="C570" s="121" t="s">
        <v>593</v>
      </c>
      <c r="D570" s="109">
        <v>3</v>
      </c>
      <c r="E570" s="109" t="s">
        <v>1915</v>
      </c>
      <c r="F570" s="109" t="s">
        <v>2046</v>
      </c>
      <c r="G570" s="109" t="s">
        <v>1950</v>
      </c>
      <c r="H570" s="109"/>
      <c r="I570" s="109"/>
    </row>
    <row r="571" spans="1:9" ht="39" thickBot="1" x14ac:dyDescent="0.3">
      <c r="A571" s="112" t="s">
        <v>1789</v>
      </c>
      <c r="B571" s="112" t="s">
        <v>1953</v>
      </c>
      <c r="C571" s="121" t="s">
        <v>593</v>
      </c>
      <c r="D571" s="112">
        <v>3</v>
      </c>
      <c r="E571" s="112" t="s">
        <v>1915</v>
      </c>
      <c r="F571" s="113" t="s">
        <v>2916</v>
      </c>
      <c r="G571" s="112" t="s">
        <v>2332</v>
      </c>
      <c r="H571" s="112" t="s">
        <v>2917</v>
      </c>
      <c r="I571" s="113" t="s">
        <v>2918</v>
      </c>
    </row>
    <row r="572" spans="1:9" ht="39" thickBot="1" x14ac:dyDescent="0.3">
      <c r="A572" s="109" t="s">
        <v>639</v>
      </c>
      <c r="B572" s="109" t="s">
        <v>1953</v>
      </c>
      <c r="C572" s="121" t="s">
        <v>593</v>
      </c>
      <c r="D572" s="109">
        <v>3</v>
      </c>
      <c r="E572" s="109"/>
      <c r="F572" s="109" t="s">
        <v>2916</v>
      </c>
      <c r="G572" s="109" t="s">
        <v>2332</v>
      </c>
      <c r="H572" s="109" t="s">
        <v>2919</v>
      </c>
      <c r="I572" s="109" t="s">
        <v>2920</v>
      </c>
    </row>
    <row r="573" spans="1:9" ht="51.75" thickBot="1" x14ac:dyDescent="0.3">
      <c r="A573" s="112" t="s">
        <v>802</v>
      </c>
      <c r="B573" s="112" t="s">
        <v>1953</v>
      </c>
      <c r="C573" s="121" t="s">
        <v>593</v>
      </c>
      <c r="D573" s="112">
        <v>3</v>
      </c>
      <c r="E573" s="112" t="s">
        <v>1915</v>
      </c>
      <c r="F573" s="113" t="s">
        <v>2916</v>
      </c>
      <c r="G573" s="112" t="s">
        <v>2921</v>
      </c>
      <c r="H573" s="112" t="s">
        <v>2922</v>
      </c>
      <c r="I573" s="113" t="s">
        <v>2923</v>
      </c>
    </row>
    <row r="574" spans="1:9" ht="15.75" thickBot="1" x14ac:dyDescent="0.3">
      <c r="A574" s="109" t="s">
        <v>2924</v>
      </c>
      <c r="B574" s="109" t="s">
        <v>1953</v>
      </c>
      <c r="C574" s="121" t="s">
        <v>593</v>
      </c>
      <c r="D574" s="109">
        <v>3</v>
      </c>
      <c r="E574" s="109"/>
      <c r="F574" s="109" t="s">
        <v>2925</v>
      </c>
      <c r="G574" s="109" t="s">
        <v>2926</v>
      </c>
      <c r="H574" s="109"/>
      <c r="I574" s="109" t="s">
        <v>2163</v>
      </c>
    </row>
    <row r="575" spans="1:9" ht="217.5" thickBot="1" x14ac:dyDescent="0.3">
      <c r="A575" s="112" t="s">
        <v>655</v>
      </c>
      <c r="B575" s="112" t="s">
        <v>1895</v>
      </c>
      <c r="C575" s="121" t="s">
        <v>593</v>
      </c>
      <c r="D575" s="112">
        <v>3</v>
      </c>
      <c r="E575" s="112" t="s">
        <v>1915</v>
      </c>
      <c r="F575" s="113"/>
      <c r="G575" s="112" t="s">
        <v>2921</v>
      </c>
      <c r="H575" s="112" t="s">
        <v>2927</v>
      </c>
      <c r="I575" s="113" t="s">
        <v>2928</v>
      </c>
    </row>
    <row r="576" spans="1:9" ht="102.75" thickBot="1" x14ac:dyDescent="0.3">
      <c r="A576" s="109" t="s">
        <v>2929</v>
      </c>
      <c r="B576" s="109" t="s">
        <v>1895</v>
      </c>
      <c r="C576" s="121" t="s">
        <v>593</v>
      </c>
      <c r="D576" s="109">
        <v>3</v>
      </c>
      <c r="E576" s="109"/>
      <c r="F576" s="114"/>
      <c r="G576" s="109" t="s">
        <v>2162</v>
      </c>
      <c r="H576" s="109" t="s">
        <v>58</v>
      </c>
      <c r="I576" s="109" t="s">
        <v>2930</v>
      </c>
    </row>
    <row r="577" spans="1:9" ht="128.25" thickBot="1" x14ac:dyDescent="0.3">
      <c r="A577" s="112" t="s">
        <v>1339</v>
      </c>
      <c r="B577" s="112" t="s">
        <v>1895</v>
      </c>
      <c r="C577" s="121" t="s">
        <v>593</v>
      </c>
      <c r="D577" s="112">
        <v>3</v>
      </c>
      <c r="E577" s="112"/>
      <c r="F577" s="113"/>
      <c r="G577" s="112" t="s">
        <v>2361</v>
      </c>
      <c r="H577" s="112" t="s">
        <v>2931</v>
      </c>
      <c r="I577" s="113" t="s">
        <v>2932</v>
      </c>
    </row>
    <row r="578" spans="1:9" ht="64.5" thickBot="1" x14ac:dyDescent="0.3">
      <c r="A578" s="109" t="s">
        <v>1772</v>
      </c>
      <c r="B578" s="109" t="s">
        <v>1895</v>
      </c>
      <c r="C578" s="121" t="s">
        <v>593</v>
      </c>
      <c r="D578" s="109">
        <v>3</v>
      </c>
      <c r="E578" s="109" t="s">
        <v>1915</v>
      </c>
      <c r="F578" s="109" t="s">
        <v>2933</v>
      </c>
      <c r="G578" s="109" t="s">
        <v>2361</v>
      </c>
      <c r="H578" s="109" t="s">
        <v>2934</v>
      </c>
      <c r="I578" s="109" t="s">
        <v>2935</v>
      </c>
    </row>
    <row r="579" spans="1:9" ht="26.25" thickBot="1" x14ac:dyDescent="0.3">
      <c r="A579" s="112" t="s">
        <v>719</v>
      </c>
      <c r="B579" s="112" t="s">
        <v>1895</v>
      </c>
      <c r="C579" s="121" t="s">
        <v>593</v>
      </c>
      <c r="D579" s="112">
        <v>3</v>
      </c>
      <c r="E579" s="112" t="s">
        <v>1915</v>
      </c>
      <c r="F579" s="113"/>
      <c r="G579" s="112" t="s">
        <v>2936</v>
      </c>
      <c r="H579" s="112" t="s">
        <v>58</v>
      </c>
      <c r="I579" s="113" t="s">
        <v>2937</v>
      </c>
    </row>
    <row r="580" spans="1:9" ht="39" thickBot="1" x14ac:dyDescent="0.3">
      <c r="A580" s="109" t="s">
        <v>2938</v>
      </c>
      <c r="B580" s="109" t="s">
        <v>1895</v>
      </c>
      <c r="C580" s="121" t="s">
        <v>593</v>
      </c>
      <c r="D580" s="109">
        <v>3</v>
      </c>
      <c r="E580" s="109" t="s">
        <v>1915</v>
      </c>
      <c r="F580" s="109"/>
      <c r="G580" s="109" t="s">
        <v>2936</v>
      </c>
      <c r="H580" s="109" t="s">
        <v>58</v>
      </c>
      <c r="I580" s="109" t="s">
        <v>2939</v>
      </c>
    </row>
    <row r="581" spans="1:9" ht="15.75" hidden="1" thickBot="1" x14ac:dyDescent="0.3">
      <c r="A581" s="111" t="s">
        <v>2940</v>
      </c>
      <c r="B581" s="112" t="s">
        <v>1895</v>
      </c>
      <c r="C581" s="121" t="s">
        <v>593</v>
      </c>
      <c r="D581" s="112">
        <v>3</v>
      </c>
      <c r="E581" s="112" t="s">
        <v>1915</v>
      </c>
      <c r="F581" s="113" t="s">
        <v>2038</v>
      </c>
      <c r="G581" s="112" t="s">
        <v>1950</v>
      </c>
      <c r="H581" s="112"/>
      <c r="I581" s="113"/>
    </row>
    <row r="582" spans="1:9" ht="39" thickBot="1" x14ac:dyDescent="0.3">
      <c r="A582" s="109" t="s">
        <v>604</v>
      </c>
      <c r="B582" s="109" t="s">
        <v>1895</v>
      </c>
      <c r="C582" s="121" t="s">
        <v>593</v>
      </c>
      <c r="D582" s="109">
        <v>3</v>
      </c>
      <c r="E582" s="109"/>
      <c r="F582" s="114"/>
      <c r="G582" s="109" t="s">
        <v>2390</v>
      </c>
      <c r="H582" s="109" t="s">
        <v>2941</v>
      </c>
      <c r="I582" s="109" t="s">
        <v>2942</v>
      </c>
    </row>
    <row r="583" spans="1:9" ht="15.75" hidden="1" thickBot="1" x14ac:dyDescent="0.3">
      <c r="A583" s="111" t="s">
        <v>2943</v>
      </c>
      <c r="B583" s="112" t="s">
        <v>1895</v>
      </c>
      <c r="C583" s="121" t="s">
        <v>593</v>
      </c>
      <c r="D583" s="112">
        <v>3</v>
      </c>
      <c r="E583" s="112" t="s">
        <v>1915</v>
      </c>
      <c r="F583" s="113"/>
      <c r="G583" s="112" t="s">
        <v>2403</v>
      </c>
      <c r="H583" s="112"/>
      <c r="I583" s="113"/>
    </row>
    <row r="584" spans="1:9" ht="15.75" hidden="1" thickBot="1" x14ac:dyDescent="0.3">
      <c r="A584" s="111" t="s">
        <v>837</v>
      </c>
      <c r="B584" s="109" t="s">
        <v>1895</v>
      </c>
      <c r="C584" s="121" t="s">
        <v>593</v>
      </c>
      <c r="D584" s="109">
        <v>3</v>
      </c>
      <c r="E584" s="109" t="s">
        <v>1915</v>
      </c>
      <c r="F584" s="109" t="s">
        <v>2035</v>
      </c>
      <c r="G584" s="109" t="s">
        <v>1950</v>
      </c>
      <c r="H584" s="109"/>
      <c r="I584" s="109"/>
    </row>
    <row r="585" spans="1:9" ht="102.75" thickBot="1" x14ac:dyDescent="0.3">
      <c r="A585" s="112" t="s">
        <v>615</v>
      </c>
      <c r="B585" s="112" t="s">
        <v>1895</v>
      </c>
      <c r="C585" s="121" t="s">
        <v>593</v>
      </c>
      <c r="D585" s="112">
        <v>3</v>
      </c>
      <c r="E585" s="112"/>
      <c r="F585" s="113"/>
      <c r="G585" s="112" t="s">
        <v>2397</v>
      </c>
      <c r="H585" s="112" t="s">
        <v>2944</v>
      </c>
      <c r="I585" s="113" t="s">
        <v>2945</v>
      </c>
    </row>
    <row r="586" spans="1:9" ht="15.75" thickBot="1" x14ac:dyDescent="0.3">
      <c r="A586" s="109" t="s">
        <v>2946</v>
      </c>
      <c r="B586" s="109" t="s">
        <v>1895</v>
      </c>
      <c r="C586" s="121" t="s">
        <v>593</v>
      </c>
      <c r="D586" s="109">
        <v>3</v>
      </c>
      <c r="E586" s="109"/>
      <c r="F586" s="114"/>
      <c r="G586" s="109" t="s">
        <v>2947</v>
      </c>
      <c r="H586" s="109" t="s">
        <v>58</v>
      </c>
      <c r="I586" s="109" t="s">
        <v>2948</v>
      </c>
    </row>
    <row r="587" spans="1:9" ht="15.75" hidden="1" thickBot="1" x14ac:dyDescent="0.3">
      <c r="A587" s="111" t="s">
        <v>796</v>
      </c>
      <c r="B587" s="112" t="s">
        <v>1895</v>
      </c>
      <c r="C587" s="121" t="s">
        <v>593</v>
      </c>
      <c r="D587" s="112">
        <v>3</v>
      </c>
      <c r="E587" s="112" t="s">
        <v>1915</v>
      </c>
      <c r="F587" s="113" t="s">
        <v>2035</v>
      </c>
      <c r="G587" s="112" t="s">
        <v>1950</v>
      </c>
      <c r="H587" s="112"/>
      <c r="I587" s="113"/>
    </row>
    <row r="588" spans="1:9" ht="102.75" thickBot="1" x14ac:dyDescent="0.3">
      <c r="A588" s="109" t="s">
        <v>1002</v>
      </c>
      <c r="B588" s="109" t="s">
        <v>1895</v>
      </c>
      <c r="C588" s="121" t="s">
        <v>593</v>
      </c>
      <c r="D588" s="109">
        <v>3</v>
      </c>
      <c r="E588" s="109"/>
      <c r="F588" s="114"/>
      <c r="G588" s="109" t="s">
        <v>2947</v>
      </c>
      <c r="H588" s="109" t="s">
        <v>58</v>
      </c>
      <c r="I588" s="109" t="s">
        <v>1947</v>
      </c>
    </row>
    <row r="589" spans="1:9" ht="39" thickBot="1" x14ac:dyDescent="0.3">
      <c r="A589" s="112" t="s">
        <v>2949</v>
      </c>
      <c r="B589" s="112" t="s">
        <v>1895</v>
      </c>
      <c r="C589" s="121" t="s">
        <v>593</v>
      </c>
      <c r="D589" s="112">
        <v>3</v>
      </c>
      <c r="E589" s="112"/>
      <c r="F589" s="113"/>
      <c r="G589" s="112" t="s">
        <v>2950</v>
      </c>
      <c r="H589" s="112" t="s">
        <v>2951</v>
      </c>
      <c r="I589" s="113" t="s">
        <v>2952</v>
      </c>
    </row>
    <row r="590" spans="1:9" ht="15.75" hidden="1" thickBot="1" x14ac:dyDescent="0.3">
      <c r="A590" s="111" t="s">
        <v>799</v>
      </c>
      <c r="B590" s="109" t="s">
        <v>1895</v>
      </c>
      <c r="C590" s="121" t="s">
        <v>593</v>
      </c>
      <c r="D590" s="109">
        <v>3</v>
      </c>
      <c r="E590" s="109" t="s">
        <v>1915</v>
      </c>
      <c r="F590" s="109" t="s">
        <v>2046</v>
      </c>
      <c r="G590" s="109" t="s">
        <v>1950</v>
      </c>
      <c r="H590" s="109"/>
      <c r="I590" s="109"/>
    </row>
    <row r="591" spans="1:9" ht="51.75" thickBot="1" x14ac:dyDescent="0.3">
      <c r="A591" s="112" t="s">
        <v>645</v>
      </c>
      <c r="B591" s="112" t="s">
        <v>2412</v>
      </c>
      <c r="C591" s="121" t="s">
        <v>593</v>
      </c>
      <c r="D591" s="112">
        <v>3</v>
      </c>
      <c r="E591" s="112"/>
      <c r="F591" s="113"/>
      <c r="G591" s="112" t="s">
        <v>2409</v>
      </c>
      <c r="H591" s="112" t="s">
        <v>2941</v>
      </c>
      <c r="I591" s="113" t="s">
        <v>2953</v>
      </c>
    </row>
    <row r="592" spans="1:9" ht="39" thickBot="1" x14ac:dyDescent="0.3">
      <c r="A592" s="109" t="s">
        <v>637</v>
      </c>
      <c r="B592" s="109" t="s">
        <v>2412</v>
      </c>
      <c r="C592" s="121" t="s">
        <v>593</v>
      </c>
      <c r="D592" s="109">
        <v>3</v>
      </c>
      <c r="E592" s="109" t="s">
        <v>1915</v>
      </c>
      <c r="F592" s="114"/>
      <c r="G592" s="109" t="s">
        <v>2413</v>
      </c>
      <c r="H592" s="109" t="s">
        <v>2954</v>
      </c>
      <c r="I592" s="109" t="s">
        <v>2955</v>
      </c>
    </row>
    <row r="593" spans="1:9" ht="51.75" thickBot="1" x14ac:dyDescent="0.3">
      <c r="A593" s="112" t="s">
        <v>728</v>
      </c>
      <c r="B593" s="112" t="s">
        <v>2412</v>
      </c>
      <c r="C593" s="121" t="s">
        <v>593</v>
      </c>
      <c r="D593" s="112">
        <v>3</v>
      </c>
      <c r="E593" s="112" t="s">
        <v>1915</v>
      </c>
      <c r="F593" s="113"/>
      <c r="G593" s="112" t="s">
        <v>2413</v>
      </c>
      <c r="H593" s="112" t="s">
        <v>2956</v>
      </c>
      <c r="I593" s="113" t="s">
        <v>2957</v>
      </c>
    </row>
    <row r="594" spans="1:9" ht="192" thickBot="1" x14ac:dyDescent="0.3">
      <c r="A594" s="109" t="s">
        <v>738</v>
      </c>
      <c r="B594" s="109" t="s">
        <v>2412</v>
      </c>
      <c r="C594" s="121" t="s">
        <v>593</v>
      </c>
      <c r="D594" s="109">
        <v>3</v>
      </c>
      <c r="E594" s="109" t="s">
        <v>1915</v>
      </c>
      <c r="F594" s="114"/>
      <c r="G594" s="109" t="s">
        <v>2413</v>
      </c>
      <c r="H594" s="109" t="s">
        <v>2958</v>
      </c>
      <c r="I594" s="109" t="s">
        <v>2959</v>
      </c>
    </row>
    <row r="595" spans="1:9" ht="115.5" thickBot="1" x14ac:dyDescent="0.3">
      <c r="A595" s="112" t="s">
        <v>594</v>
      </c>
      <c r="B595" s="112" t="s">
        <v>2412</v>
      </c>
      <c r="C595" s="121" t="s">
        <v>593</v>
      </c>
      <c r="D595" s="112">
        <v>3</v>
      </c>
      <c r="E595" s="112" t="s">
        <v>1915</v>
      </c>
      <c r="F595" s="113"/>
      <c r="G595" s="112" t="s">
        <v>2413</v>
      </c>
      <c r="H595" s="112" t="s">
        <v>2960</v>
      </c>
      <c r="I595" s="113" t="s">
        <v>2961</v>
      </c>
    </row>
    <row r="596" spans="1:9" ht="15.75" thickBot="1" x14ac:dyDescent="0.3">
      <c r="A596" s="109" t="s">
        <v>2962</v>
      </c>
      <c r="B596" s="109" t="s">
        <v>2412</v>
      </c>
      <c r="C596" s="121" t="s">
        <v>593</v>
      </c>
      <c r="D596" s="109">
        <v>3</v>
      </c>
      <c r="E596" s="109" t="s">
        <v>1915</v>
      </c>
      <c r="F596" s="114"/>
      <c r="G596" s="109"/>
      <c r="H596" s="109"/>
      <c r="I596" s="109" t="s">
        <v>2963</v>
      </c>
    </row>
    <row r="597" spans="1:9" ht="39" thickBot="1" x14ac:dyDescent="0.3">
      <c r="A597" s="112" t="s">
        <v>2964</v>
      </c>
      <c r="B597" s="112" t="s">
        <v>2412</v>
      </c>
      <c r="C597" s="121" t="s">
        <v>593</v>
      </c>
      <c r="D597" s="112">
        <v>3</v>
      </c>
      <c r="E597" s="112" t="s">
        <v>1915</v>
      </c>
      <c r="F597" s="113"/>
      <c r="G597" s="112"/>
      <c r="H597" s="112"/>
      <c r="I597" s="113" t="s">
        <v>2965</v>
      </c>
    </row>
    <row r="598" spans="1:9" ht="115.5" thickBot="1" x14ac:dyDescent="0.3">
      <c r="A598" s="109" t="s">
        <v>2966</v>
      </c>
      <c r="B598" s="109" t="s">
        <v>2412</v>
      </c>
      <c r="C598" s="121" t="s">
        <v>593</v>
      </c>
      <c r="D598" s="109">
        <v>3</v>
      </c>
      <c r="E598" s="109" t="s">
        <v>1915</v>
      </c>
      <c r="F598" s="114"/>
      <c r="G598" s="109"/>
      <c r="H598" s="109"/>
      <c r="I598" s="109" t="s">
        <v>2967</v>
      </c>
    </row>
    <row r="599" spans="1:9" ht="15.75" hidden="1" thickBot="1" x14ac:dyDescent="0.3">
      <c r="A599" s="111" t="s">
        <v>2968</v>
      </c>
      <c r="B599" s="112" t="s">
        <v>2412</v>
      </c>
      <c r="C599" s="121" t="s">
        <v>593</v>
      </c>
      <c r="D599" s="112">
        <v>3</v>
      </c>
      <c r="E599" s="112" t="s">
        <v>1915</v>
      </c>
      <c r="F599" s="113"/>
      <c r="G599" s="112"/>
      <c r="H599" s="112"/>
      <c r="I599" s="113"/>
    </row>
    <row r="600" spans="1:9" ht="15.75" thickBot="1" x14ac:dyDescent="0.3">
      <c r="A600" s="109" t="s">
        <v>2969</v>
      </c>
      <c r="B600" s="109" t="s">
        <v>2412</v>
      </c>
      <c r="C600" s="121" t="s">
        <v>593</v>
      </c>
      <c r="D600" s="109">
        <v>3</v>
      </c>
      <c r="E600" s="109" t="s">
        <v>1915</v>
      </c>
      <c r="F600" s="114"/>
      <c r="G600" s="109"/>
      <c r="H600" s="109"/>
      <c r="I600" s="109" t="s">
        <v>2827</v>
      </c>
    </row>
    <row r="601" spans="1:9" ht="15.75" hidden="1" thickBot="1" x14ac:dyDescent="0.3">
      <c r="A601" s="111" t="s">
        <v>2970</v>
      </c>
      <c r="B601" s="112" t="s">
        <v>2412</v>
      </c>
      <c r="C601" s="121" t="s">
        <v>593</v>
      </c>
      <c r="D601" s="112">
        <v>3</v>
      </c>
      <c r="E601" s="112" t="s">
        <v>1915</v>
      </c>
      <c r="F601" s="113"/>
      <c r="G601" s="112"/>
      <c r="H601" s="112"/>
      <c r="I601" s="113"/>
    </row>
    <row r="602" spans="1:9" ht="15.75" thickBot="1" x14ac:dyDescent="0.3">
      <c r="A602" s="109" t="s">
        <v>2971</v>
      </c>
      <c r="B602" s="109" t="s">
        <v>2412</v>
      </c>
      <c r="C602" s="121" t="s">
        <v>593</v>
      </c>
      <c r="D602" s="109">
        <v>3</v>
      </c>
      <c r="E602" s="109" t="s">
        <v>1915</v>
      </c>
      <c r="F602" s="114"/>
      <c r="G602" s="109"/>
      <c r="H602" s="109"/>
      <c r="I602" s="109" t="s">
        <v>2972</v>
      </c>
    </row>
    <row r="603" spans="1:9" ht="15.75" hidden="1" thickBot="1" x14ac:dyDescent="0.3">
      <c r="A603" s="111" t="s">
        <v>2973</v>
      </c>
      <c r="B603" s="112" t="s">
        <v>2412</v>
      </c>
      <c r="C603" s="121" t="s">
        <v>593</v>
      </c>
      <c r="D603" s="112">
        <v>3</v>
      </c>
      <c r="E603" s="112" t="s">
        <v>1915</v>
      </c>
      <c r="F603" s="113"/>
      <c r="G603" s="112"/>
      <c r="H603" s="112"/>
      <c r="I603" s="113"/>
    </row>
    <row r="604" spans="1:9" ht="15.75" hidden="1" thickBot="1" x14ac:dyDescent="0.3">
      <c r="A604" s="111" t="s">
        <v>2974</v>
      </c>
      <c r="B604" s="109" t="s">
        <v>2412</v>
      </c>
      <c r="C604" s="121" t="s">
        <v>593</v>
      </c>
      <c r="D604" s="109">
        <v>3</v>
      </c>
      <c r="E604" s="109" t="s">
        <v>1915</v>
      </c>
      <c r="F604" s="114"/>
      <c r="G604" s="109"/>
      <c r="H604" s="109"/>
      <c r="I604" s="109"/>
    </row>
    <row r="605" spans="1:9" ht="15.75" hidden="1" thickBot="1" x14ac:dyDescent="0.3">
      <c r="A605" s="111" t="s">
        <v>2975</v>
      </c>
      <c r="B605" s="112" t="s">
        <v>2412</v>
      </c>
      <c r="C605" s="121" t="s">
        <v>593</v>
      </c>
      <c r="D605" s="112">
        <v>3</v>
      </c>
      <c r="E605" s="112" t="s">
        <v>1915</v>
      </c>
      <c r="F605" s="113"/>
      <c r="G605" s="112"/>
      <c r="H605" s="112"/>
      <c r="I605" s="113"/>
    </row>
    <row r="606" spans="1:9" ht="64.5" thickBot="1" x14ac:dyDescent="0.3">
      <c r="A606" s="109" t="s">
        <v>654</v>
      </c>
      <c r="B606" s="109" t="s">
        <v>2412</v>
      </c>
      <c r="C606" s="121" t="s">
        <v>593</v>
      </c>
      <c r="D606" s="109">
        <v>3</v>
      </c>
      <c r="E606" s="109" t="s">
        <v>1915</v>
      </c>
      <c r="F606" s="114"/>
      <c r="G606" s="109" t="s">
        <v>2976</v>
      </c>
      <c r="H606" s="109" t="s">
        <v>2977</v>
      </c>
      <c r="I606" s="109" t="s">
        <v>2978</v>
      </c>
    </row>
    <row r="607" spans="1:9" ht="51.75" thickBot="1" x14ac:dyDescent="0.3">
      <c r="A607" s="112" t="s">
        <v>657</v>
      </c>
      <c r="B607" s="112" t="s">
        <v>2412</v>
      </c>
      <c r="C607" s="121" t="s">
        <v>593</v>
      </c>
      <c r="D607" s="112">
        <v>3</v>
      </c>
      <c r="E607" s="112" t="s">
        <v>1915</v>
      </c>
      <c r="F607" s="113"/>
      <c r="G607" s="112" t="s">
        <v>2418</v>
      </c>
      <c r="H607" s="112" t="s">
        <v>2979</v>
      </c>
      <c r="I607" s="113" t="s">
        <v>2980</v>
      </c>
    </row>
    <row r="608" spans="1:9" ht="39" thickBot="1" x14ac:dyDescent="0.3">
      <c r="A608" s="109" t="s">
        <v>2981</v>
      </c>
      <c r="B608" s="109" t="s">
        <v>2412</v>
      </c>
      <c r="C608" s="121" t="s">
        <v>593</v>
      </c>
      <c r="D608" s="109">
        <v>3</v>
      </c>
      <c r="E608" s="109" t="s">
        <v>1915</v>
      </c>
      <c r="F608" s="114"/>
      <c r="G608" s="109" t="s">
        <v>2418</v>
      </c>
      <c r="H608" s="109" t="s">
        <v>2982</v>
      </c>
      <c r="I608" s="109" t="s">
        <v>2983</v>
      </c>
    </row>
    <row r="609" spans="1:9" ht="51.75" thickBot="1" x14ac:dyDescent="0.3">
      <c r="A609" s="112" t="s">
        <v>781</v>
      </c>
      <c r="B609" s="112" t="s">
        <v>1895</v>
      </c>
      <c r="C609" s="121" t="s">
        <v>593</v>
      </c>
      <c r="D609" s="112">
        <v>3</v>
      </c>
      <c r="E609" s="112" t="s">
        <v>1915</v>
      </c>
      <c r="F609" s="113"/>
      <c r="G609" s="112" t="s">
        <v>2418</v>
      </c>
      <c r="H609" s="112" t="s">
        <v>2984</v>
      </c>
      <c r="I609" s="113" t="s">
        <v>2985</v>
      </c>
    </row>
    <row r="610" spans="1:9" ht="15.75" thickBot="1" x14ac:dyDescent="0.3">
      <c r="A610" s="109" t="s">
        <v>2986</v>
      </c>
      <c r="B610" s="109" t="s">
        <v>1895</v>
      </c>
      <c r="C610" s="121" t="s">
        <v>593</v>
      </c>
      <c r="D610" s="109">
        <v>3</v>
      </c>
      <c r="E610" s="109" t="s">
        <v>1915</v>
      </c>
      <c r="F610" s="114"/>
      <c r="G610" s="109" t="s">
        <v>2472</v>
      </c>
      <c r="H610" s="109" t="s">
        <v>58</v>
      </c>
      <c r="I610" s="109" t="s">
        <v>2101</v>
      </c>
    </row>
    <row r="611" spans="1:9" ht="26.25" thickBot="1" x14ac:dyDescent="0.3">
      <c r="A611" s="112" t="s">
        <v>1786</v>
      </c>
      <c r="B611" s="112" t="s">
        <v>2048</v>
      </c>
      <c r="C611" s="121" t="s">
        <v>593</v>
      </c>
      <c r="D611" s="112">
        <v>3</v>
      </c>
      <c r="E611" s="112" t="s">
        <v>1915</v>
      </c>
      <c r="F611" s="113"/>
      <c r="G611" s="112" t="s">
        <v>2050</v>
      </c>
      <c r="H611" s="112" t="s">
        <v>2987</v>
      </c>
      <c r="I611" s="113" t="s">
        <v>2988</v>
      </c>
    </row>
    <row r="612" spans="1:9" ht="39" thickBot="1" x14ac:dyDescent="0.3">
      <c r="A612" s="109" t="s">
        <v>2989</v>
      </c>
      <c r="B612" s="109" t="s">
        <v>2048</v>
      </c>
      <c r="C612" s="121" t="s">
        <v>593</v>
      </c>
      <c r="D612" s="109">
        <v>3</v>
      </c>
      <c r="E612" s="109" t="s">
        <v>1915</v>
      </c>
      <c r="F612" s="114"/>
      <c r="G612" s="109" t="s">
        <v>2428</v>
      </c>
      <c r="H612" s="109" t="s">
        <v>58</v>
      </c>
      <c r="I612" s="109" t="s">
        <v>2990</v>
      </c>
    </row>
    <row r="613" spans="1:9" ht="39" thickBot="1" x14ac:dyDescent="0.3">
      <c r="A613" s="112" t="s">
        <v>832</v>
      </c>
      <c r="B613" s="112" t="s">
        <v>1895</v>
      </c>
      <c r="C613" s="121" t="s">
        <v>593</v>
      </c>
      <c r="D613" s="112">
        <v>3</v>
      </c>
      <c r="E613" s="112"/>
      <c r="F613" s="113"/>
      <c r="G613" s="112" t="s">
        <v>2050</v>
      </c>
      <c r="H613" s="112" t="s">
        <v>2991</v>
      </c>
      <c r="I613" s="113" t="s">
        <v>2992</v>
      </c>
    </row>
    <row r="614" spans="1:9" ht="15.75" thickBot="1" x14ac:dyDescent="0.3">
      <c r="A614" s="109" t="s">
        <v>2993</v>
      </c>
      <c r="B614" s="109" t="s">
        <v>1953</v>
      </c>
      <c r="C614" s="121" t="s">
        <v>593</v>
      </c>
      <c r="D614" s="109">
        <v>3</v>
      </c>
      <c r="E614" s="109" t="s">
        <v>1915</v>
      </c>
      <c r="F614" s="109" t="s">
        <v>2916</v>
      </c>
      <c r="G614" s="109" t="s">
        <v>2994</v>
      </c>
      <c r="H614" s="109" t="s">
        <v>58</v>
      </c>
      <c r="I614" s="109" t="s">
        <v>2995</v>
      </c>
    </row>
    <row r="615" spans="1:9" ht="15.75" thickBot="1" x14ac:dyDescent="0.3">
      <c r="A615" s="112" t="s">
        <v>2996</v>
      </c>
      <c r="B615" s="112" t="s">
        <v>1895</v>
      </c>
      <c r="C615" s="121" t="s">
        <v>593</v>
      </c>
      <c r="D615" s="112">
        <v>3</v>
      </c>
      <c r="E615" s="112" t="s">
        <v>1915</v>
      </c>
      <c r="F615" s="113" t="s">
        <v>2997</v>
      </c>
      <c r="G615" s="112" t="s">
        <v>2998</v>
      </c>
      <c r="H615" s="112"/>
      <c r="I615" s="113" t="s">
        <v>2999</v>
      </c>
    </row>
    <row r="616" spans="1:9" ht="15.75" thickBot="1" x14ac:dyDescent="0.3">
      <c r="A616" s="109" t="s">
        <v>670</v>
      </c>
      <c r="B616" s="109" t="s">
        <v>1890</v>
      </c>
      <c r="C616" s="121" t="s">
        <v>593</v>
      </c>
      <c r="D616" s="109">
        <v>3</v>
      </c>
      <c r="E616" s="109" t="s">
        <v>1915</v>
      </c>
      <c r="F616" s="109" t="s">
        <v>2682</v>
      </c>
      <c r="G616" s="109" t="s">
        <v>3000</v>
      </c>
      <c r="H616" s="109" t="s">
        <v>58</v>
      </c>
      <c r="I616" s="109" t="s">
        <v>2848</v>
      </c>
    </row>
    <row r="617" spans="1:9" ht="15.75" thickBot="1" x14ac:dyDescent="0.3">
      <c r="A617" s="112" t="s">
        <v>777</v>
      </c>
      <c r="B617" s="112" t="s">
        <v>1953</v>
      </c>
      <c r="C617" s="121" t="s">
        <v>593</v>
      </c>
      <c r="D617" s="112">
        <v>3</v>
      </c>
      <c r="E617" s="112"/>
      <c r="F617" s="113" t="s">
        <v>2925</v>
      </c>
      <c r="G617" s="112" t="s">
        <v>2447</v>
      </c>
      <c r="H617" s="112"/>
      <c r="I617" s="113" t="s">
        <v>2448</v>
      </c>
    </row>
    <row r="618" spans="1:9" ht="15.75" thickBot="1" x14ac:dyDescent="0.3">
      <c r="A618" s="109" t="s">
        <v>3001</v>
      </c>
      <c r="B618" s="109" t="s">
        <v>1895</v>
      </c>
      <c r="C618" s="121" t="s">
        <v>593</v>
      </c>
      <c r="D618" s="109">
        <v>3</v>
      </c>
      <c r="E618" s="109" t="s">
        <v>1915</v>
      </c>
      <c r="F618" s="114"/>
      <c r="G618" s="109" t="s">
        <v>1950</v>
      </c>
      <c r="H618" s="109"/>
      <c r="I618" s="109" t="s">
        <v>3002</v>
      </c>
    </row>
    <row r="619" spans="1:9" ht="15.75" hidden="1" thickBot="1" x14ac:dyDescent="0.3">
      <c r="A619" s="111" t="s">
        <v>688</v>
      </c>
      <c r="B619" s="112" t="s">
        <v>1895</v>
      </c>
      <c r="C619" s="121" t="s">
        <v>593</v>
      </c>
      <c r="D619" s="112">
        <v>3</v>
      </c>
      <c r="E619" s="112" t="s">
        <v>1915</v>
      </c>
      <c r="F619" s="113" t="s">
        <v>2038</v>
      </c>
      <c r="G619" s="112" t="s">
        <v>1950</v>
      </c>
      <c r="H619" s="112"/>
      <c r="I619" s="113"/>
    </row>
    <row r="620" spans="1:9" ht="15.75" hidden="1" thickBot="1" x14ac:dyDescent="0.3">
      <c r="A620" s="111" t="s">
        <v>3003</v>
      </c>
      <c r="B620" s="109" t="s">
        <v>1890</v>
      </c>
      <c r="C620" s="121" t="s">
        <v>593</v>
      </c>
      <c r="D620" s="109">
        <v>3</v>
      </c>
      <c r="E620" s="109"/>
      <c r="F620" s="114"/>
      <c r="G620" s="109" t="s">
        <v>3004</v>
      </c>
      <c r="H620" s="109"/>
      <c r="I620" s="109"/>
    </row>
    <row r="621" spans="1:9" ht="15.75" thickBot="1" x14ac:dyDescent="0.3">
      <c r="A621" s="112" t="s">
        <v>871</v>
      </c>
      <c r="B621" s="112" t="s">
        <v>1890</v>
      </c>
      <c r="C621" s="121" t="s">
        <v>593</v>
      </c>
      <c r="D621" s="112">
        <v>3</v>
      </c>
      <c r="E621" s="112" t="s">
        <v>1915</v>
      </c>
      <c r="F621" s="113" t="s">
        <v>1982</v>
      </c>
      <c r="G621" s="112" t="s">
        <v>2054</v>
      </c>
      <c r="H621" s="112" t="s">
        <v>3005</v>
      </c>
      <c r="I621" s="113" t="s">
        <v>2638</v>
      </c>
    </row>
    <row r="622" spans="1:9" ht="26.25" thickBot="1" x14ac:dyDescent="0.3">
      <c r="A622" s="109" t="s">
        <v>671</v>
      </c>
      <c r="B622" s="109" t="s">
        <v>1895</v>
      </c>
      <c r="C622" s="121" t="s">
        <v>593</v>
      </c>
      <c r="D622" s="109">
        <v>3</v>
      </c>
      <c r="E622" s="109"/>
      <c r="F622" s="114"/>
      <c r="G622" s="109" t="s">
        <v>3006</v>
      </c>
      <c r="H622" s="109"/>
      <c r="I622" s="109" t="s">
        <v>2634</v>
      </c>
    </row>
    <row r="623" spans="1:9" ht="15.75" hidden="1" thickBot="1" x14ac:dyDescent="0.3">
      <c r="A623" s="111" t="s">
        <v>3007</v>
      </c>
      <c r="B623" s="112" t="s">
        <v>1953</v>
      </c>
      <c r="C623" s="121" t="s">
        <v>593</v>
      </c>
      <c r="D623" s="112">
        <v>3</v>
      </c>
      <c r="E623" s="112"/>
      <c r="F623" s="113" t="s">
        <v>3008</v>
      </c>
      <c r="G623" s="112"/>
      <c r="H623" s="112"/>
      <c r="I623" s="113"/>
    </row>
    <row r="624" spans="1:9" ht="15.75" hidden="1" thickBot="1" x14ac:dyDescent="0.3">
      <c r="A624" s="111" t="s">
        <v>3009</v>
      </c>
      <c r="B624" s="109" t="s">
        <v>1895</v>
      </c>
      <c r="C624" s="121" t="s">
        <v>593</v>
      </c>
      <c r="D624" s="109">
        <v>3</v>
      </c>
      <c r="E624" s="109" t="s">
        <v>1915</v>
      </c>
      <c r="F624" s="109" t="s">
        <v>1978</v>
      </c>
      <c r="G624" s="109" t="s">
        <v>2551</v>
      </c>
      <c r="H624" s="109"/>
      <c r="I624" s="109"/>
    </row>
    <row r="625" spans="1:9" ht="15.75" hidden="1" thickBot="1" x14ac:dyDescent="0.3">
      <c r="A625" s="111" t="s">
        <v>3010</v>
      </c>
      <c r="B625" s="112" t="s">
        <v>1895</v>
      </c>
      <c r="C625" s="121" t="s">
        <v>593</v>
      </c>
      <c r="D625" s="112">
        <v>3</v>
      </c>
      <c r="E625" s="112"/>
      <c r="F625" s="113"/>
      <c r="G625" s="112" t="s">
        <v>1950</v>
      </c>
      <c r="H625" s="112"/>
      <c r="I625" s="113"/>
    </row>
    <row r="626" spans="1:9" ht="15.75" hidden="1" thickBot="1" x14ac:dyDescent="0.3">
      <c r="A626" s="111" t="s">
        <v>3011</v>
      </c>
      <c r="B626" s="109" t="s">
        <v>1895</v>
      </c>
      <c r="C626" s="121" t="s">
        <v>593</v>
      </c>
      <c r="D626" s="109">
        <v>3</v>
      </c>
      <c r="E626" s="109"/>
      <c r="F626" s="114"/>
      <c r="G626" s="109" t="s">
        <v>1950</v>
      </c>
      <c r="H626" s="109"/>
      <c r="I626" s="109"/>
    </row>
    <row r="627" spans="1:9" ht="15.75" thickBot="1" x14ac:dyDescent="0.3">
      <c r="A627" s="112" t="s">
        <v>842</v>
      </c>
      <c r="B627" s="112" t="s">
        <v>2005</v>
      </c>
      <c r="C627" s="121" t="s">
        <v>593</v>
      </c>
      <c r="D627" s="112">
        <v>3</v>
      </c>
      <c r="E627" s="112" t="s">
        <v>1915</v>
      </c>
      <c r="F627" s="113"/>
      <c r="G627" s="112" t="s">
        <v>3012</v>
      </c>
      <c r="H627" s="112" t="s">
        <v>58</v>
      </c>
      <c r="I627" s="113" t="s">
        <v>3013</v>
      </c>
    </row>
    <row r="628" spans="1:9" ht="39" thickBot="1" x14ac:dyDescent="0.3">
      <c r="A628" s="109" t="s">
        <v>3014</v>
      </c>
      <c r="B628" s="109" t="s">
        <v>2005</v>
      </c>
      <c r="C628" s="121" t="s">
        <v>593</v>
      </c>
      <c r="D628" s="109">
        <v>3</v>
      </c>
      <c r="E628" s="109" t="s">
        <v>1915</v>
      </c>
      <c r="F628" s="109" t="s">
        <v>3015</v>
      </c>
      <c r="G628" s="109" t="s">
        <v>3016</v>
      </c>
      <c r="H628" s="109" t="s">
        <v>3017</v>
      </c>
      <c r="I628" s="109" t="s">
        <v>3018</v>
      </c>
    </row>
    <row r="629" spans="1:9" ht="26.25" thickBot="1" x14ac:dyDescent="0.3">
      <c r="A629" s="112" t="s">
        <v>597</v>
      </c>
      <c r="B629" s="112" t="s">
        <v>2005</v>
      </c>
      <c r="C629" s="121" t="s">
        <v>593</v>
      </c>
      <c r="D629" s="112">
        <v>3</v>
      </c>
      <c r="E629" s="112" t="s">
        <v>1915</v>
      </c>
      <c r="F629" s="113"/>
      <c r="G629" s="112" t="s">
        <v>3012</v>
      </c>
      <c r="H629" s="112" t="s">
        <v>58</v>
      </c>
      <c r="I629" s="113" t="s">
        <v>3019</v>
      </c>
    </row>
    <row r="630" spans="1:9" ht="39" thickBot="1" x14ac:dyDescent="0.3">
      <c r="A630" s="109" t="s">
        <v>616</v>
      </c>
      <c r="B630" s="109" t="s">
        <v>2005</v>
      </c>
      <c r="C630" s="121" t="s">
        <v>593</v>
      </c>
      <c r="D630" s="109">
        <v>3</v>
      </c>
      <c r="E630" s="109" t="s">
        <v>1915</v>
      </c>
      <c r="F630" s="109" t="s">
        <v>3020</v>
      </c>
      <c r="G630" s="109" t="s">
        <v>3021</v>
      </c>
      <c r="H630" s="109" t="s">
        <v>3022</v>
      </c>
      <c r="I630" s="109" t="s">
        <v>3023</v>
      </c>
    </row>
    <row r="631" spans="1:9" ht="90" thickBot="1" x14ac:dyDescent="0.3">
      <c r="A631" s="112" t="s">
        <v>673</v>
      </c>
      <c r="B631" s="112" t="s">
        <v>2005</v>
      </c>
      <c r="C631" s="121" t="s">
        <v>593</v>
      </c>
      <c r="D631" s="112">
        <v>3</v>
      </c>
      <c r="E631" s="112" t="s">
        <v>1915</v>
      </c>
      <c r="F631" s="113" t="s">
        <v>3015</v>
      </c>
      <c r="G631" s="112" t="s">
        <v>2462</v>
      </c>
      <c r="H631" s="112" t="s">
        <v>3024</v>
      </c>
      <c r="I631" s="113" t="s">
        <v>3025</v>
      </c>
    </row>
    <row r="632" spans="1:9" ht="204.75" thickBot="1" x14ac:dyDescent="0.3">
      <c r="A632" s="109" t="s">
        <v>600</v>
      </c>
      <c r="B632" s="109" t="s">
        <v>2005</v>
      </c>
      <c r="C632" s="121" t="s">
        <v>593</v>
      </c>
      <c r="D632" s="109">
        <v>3</v>
      </c>
      <c r="E632" s="109" t="s">
        <v>1915</v>
      </c>
      <c r="F632" s="109" t="s">
        <v>3026</v>
      </c>
      <c r="G632" s="109" t="s">
        <v>2465</v>
      </c>
      <c r="H632" s="109" t="s">
        <v>3027</v>
      </c>
      <c r="I632" s="109" t="s">
        <v>3028</v>
      </c>
    </row>
    <row r="633" spans="1:9" ht="39" thickBot="1" x14ac:dyDescent="0.3">
      <c r="A633" s="112" t="s">
        <v>838</v>
      </c>
      <c r="B633" s="112" t="s">
        <v>2005</v>
      </c>
      <c r="C633" s="121" t="s">
        <v>593</v>
      </c>
      <c r="D633" s="112">
        <v>3</v>
      </c>
      <c r="E633" s="112" t="s">
        <v>1915</v>
      </c>
      <c r="F633" s="113" t="s">
        <v>2461</v>
      </c>
      <c r="G633" s="112" t="s">
        <v>2468</v>
      </c>
      <c r="H633" s="112" t="s">
        <v>3029</v>
      </c>
      <c r="I633" s="113" t="s">
        <v>3030</v>
      </c>
    </row>
    <row r="634" spans="1:9" ht="15.75" hidden="1" thickBot="1" x14ac:dyDescent="0.3">
      <c r="A634" s="111" t="s">
        <v>3031</v>
      </c>
      <c r="B634" s="109" t="s">
        <v>1895</v>
      </c>
      <c r="C634" s="121" t="s">
        <v>593</v>
      </c>
      <c r="D634" s="109">
        <v>3</v>
      </c>
      <c r="E634" s="109" t="s">
        <v>1915</v>
      </c>
      <c r="F634" s="114"/>
      <c r="G634" s="109" t="s">
        <v>2452</v>
      </c>
      <c r="H634" s="109"/>
      <c r="I634" s="109"/>
    </row>
    <row r="635" spans="1:9" ht="15.75" hidden="1" thickBot="1" x14ac:dyDescent="0.3">
      <c r="A635" s="111" t="s">
        <v>3032</v>
      </c>
      <c r="B635" s="112" t="s">
        <v>1895</v>
      </c>
      <c r="C635" s="121" t="s">
        <v>593</v>
      </c>
      <c r="D635" s="112">
        <v>3</v>
      </c>
      <c r="E635" s="112" t="s">
        <v>1915</v>
      </c>
      <c r="F635" s="113" t="s">
        <v>1978</v>
      </c>
      <c r="G635" s="112" t="s">
        <v>2454</v>
      </c>
      <c r="H635" s="112"/>
      <c r="I635" s="113"/>
    </row>
    <row r="636" spans="1:9" ht="15.75" hidden="1" thickBot="1" x14ac:dyDescent="0.3">
      <c r="A636" s="111" t="s">
        <v>3033</v>
      </c>
      <c r="B636" s="109" t="s">
        <v>1953</v>
      </c>
      <c r="C636" s="121" t="s">
        <v>593</v>
      </c>
      <c r="D636" s="109">
        <v>3</v>
      </c>
      <c r="E636" s="109" t="s">
        <v>1915</v>
      </c>
      <c r="F636" s="114"/>
      <c r="G636" s="109" t="s">
        <v>2456</v>
      </c>
      <c r="H636" s="109"/>
      <c r="I636" s="109"/>
    </row>
    <row r="637" spans="1:9" ht="15.75" hidden="1" thickBot="1" x14ac:dyDescent="0.3">
      <c r="A637" s="111" t="s">
        <v>3034</v>
      </c>
      <c r="B637" s="112" t="s">
        <v>1895</v>
      </c>
      <c r="C637" s="121" t="s">
        <v>593</v>
      </c>
      <c r="D637" s="112">
        <v>3</v>
      </c>
      <c r="E637" s="112" t="s">
        <v>1915</v>
      </c>
      <c r="F637" s="113"/>
      <c r="G637" s="112" t="s">
        <v>2452</v>
      </c>
      <c r="H637" s="112"/>
      <c r="I637" s="113"/>
    </row>
    <row r="638" spans="1:9" ht="39" thickBot="1" x14ac:dyDescent="0.3">
      <c r="A638" s="109" t="s">
        <v>609</v>
      </c>
      <c r="B638" s="109" t="s">
        <v>1895</v>
      </c>
      <c r="C638" s="121" t="s">
        <v>593</v>
      </c>
      <c r="D638" s="109">
        <v>3</v>
      </c>
      <c r="E638" s="109"/>
      <c r="F638" s="114"/>
      <c r="G638" s="109" t="s">
        <v>2468</v>
      </c>
      <c r="H638" s="109" t="s">
        <v>3035</v>
      </c>
      <c r="I638" s="109" t="s">
        <v>3036</v>
      </c>
    </row>
    <row r="639" spans="1:9" ht="26.25" thickBot="1" x14ac:dyDescent="0.3">
      <c r="A639" s="112" t="s">
        <v>3037</v>
      </c>
      <c r="B639" s="112" t="s">
        <v>1895</v>
      </c>
      <c r="C639" s="121" t="s">
        <v>593</v>
      </c>
      <c r="D639" s="112">
        <v>3</v>
      </c>
      <c r="E639" s="112" t="s">
        <v>1915</v>
      </c>
      <c r="F639" s="113"/>
      <c r="G639" s="112" t="s">
        <v>3038</v>
      </c>
      <c r="H639" s="112" t="s">
        <v>58</v>
      </c>
      <c r="I639" s="113" t="s">
        <v>3039</v>
      </c>
    </row>
    <row r="640" spans="1:9" ht="51.75" thickBot="1" x14ac:dyDescent="0.3">
      <c r="A640" s="109" t="s">
        <v>650</v>
      </c>
      <c r="B640" s="109" t="s">
        <v>1953</v>
      </c>
      <c r="C640" s="121" t="s">
        <v>593</v>
      </c>
      <c r="D640" s="109">
        <v>3</v>
      </c>
      <c r="E640" s="109" t="s">
        <v>1915</v>
      </c>
      <c r="F640" s="109" t="s">
        <v>2925</v>
      </c>
      <c r="G640" s="109" t="s">
        <v>2468</v>
      </c>
      <c r="H640" s="109" t="s">
        <v>3040</v>
      </c>
      <c r="I640" s="109" t="s">
        <v>3041</v>
      </c>
    </row>
    <row r="641" spans="1:9" ht="15.75" hidden="1" thickBot="1" x14ac:dyDescent="0.3">
      <c r="A641" s="111" t="s">
        <v>3042</v>
      </c>
      <c r="B641" s="112" t="s">
        <v>1953</v>
      </c>
      <c r="C641" s="121" t="s">
        <v>593</v>
      </c>
      <c r="D641" s="112">
        <v>3</v>
      </c>
      <c r="E641" s="112" t="s">
        <v>1915</v>
      </c>
      <c r="F641" s="113" t="s">
        <v>1954</v>
      </c>
      <c r="G641" s="112" t="s">
        <v>2473</v>
      </c>
      <c r="H641" s="112" t="s">
        <v>3043</v>
      </c>
      <c r="I641" s="113"/>
    </row>
    <row r="642" spans="1:9" ht="15.75" hidden="1" thickBot="1" x14ac:dyDescent="0.3">
      <c r="A642" s="111" t="s">
        <v>3044</v>
      </c>
      <c r="B642" s="109" t="s">
        <v>1953</v>
      </c>
      <c r="C642" s="121" t="s">
        <v>593</v>
      </c>
      <c r="D642" s="109">
        <v>3</v>
      </c>
      <c r="E642" s="109" t="s">
        <v>1915</v>
      </c>
      <c r="F642" s="109"/>
      <c r="G642" s="109"/>
      <c r="H642" s="109"/>
      <c r="I642" s="109"/>
    </row>
    <row r="643" spans="1:9" ht="15.75" hidden="1" thickBot="1" x14ac:dyDescent="0.3">
      <c r="A643" s="111" t="s">
        <v>3045</v>
      </c>
      <c r="B643" s="112" t="s">
        <v>1953</v>
      </c>
      <c r="C643" s="121" t="s">
        <v>593</v>
      </c>
      <c r="D643" s="112">
        <v>3</v>
      </c>
      <c r="E643" s="112" t="s">
        <v>1915</v>
      </c>
      <c r="F643" s="113"/>
      <c r="G643" s="112"/>
      <c r="H643" s="112"/>
      <c r="I643" s="113"/>
    </row>
    <row r="644" spans="1:9" ht="15.75" thickBot="1" x14ac:dyDescent="0.3">
      <c r="A644" s="109" t="s">
        <v>3046</v>
      </c>
      <c r="B644" s="109" t="s">
        <v>1953</v>
      </c>
      <c r="C644" s="121" t="s">
        <v>593</v>
      </c>
      <c r="D644" s="109">
        <v>3</v>
      </c>
      <c r="E644" s="109" t="s">
        <v>1915</v>
      </c>
      <c r="F644" s="109"/>
      <c r="G644" s="109"/>
      <c r="H644" s="109"/>
      <c r="I644" s="109" t="s">
        <v>3047</v>
      </c>
    </row>
    <row r="645" spans="1:9" ht="15.75" thickBot="1" x14ac:dyDescent="0.3">
      <c r="A645" s="112" t="s">
        <v>3048</v>
      </c>
      <c r="B645" s="112" t="s">
        <v>1953</v>
      </c>
      <c r="C645" s="121" t="s">
        <v>593</v>
      </c>
      <c r="D645" s="112">
        <v>3</v>
      </c>
      <c r="E645" s="112" t="s">
        <v>1915</v>
      </c>
      <c r="F645" s="113"/>
      <c r="G645" s="112"/>
      <c r="H645" s="112"/>
      <c r="I645" s="113" t="s">
        <v>3049</v>
      </c>
    </row>
    <row r="646" spans="1:9" ht="15.75" hidden="1" thickBot="1" x14ac:dyDescent="0.3">
      <c r="A646" s="111" t="s">
        <v>3050</v>
      </c>
      <c r="B646" s="109" t="s">
        <v>1953</v>
      </c>
      <c r="C646" s="121" t="s">
        <v>593</v>
      </c>
      <c r="D646" s="109">
        <v>3</v>
      </c>
      <c r="E646" s="109" t="s">
        <v>1915</v>
      </c>
      <c r="F646" s="109"/>
      <c r="G646" s="109"/>
      <c r="H646" s="109"/>
      <c r="I646" s="109"/>
    </row>
    <row r="647" spans="1:9" ht="15.75" thickBot="1" x14ac:dyDescent="0.3">
      <c r="A647" s="112" t="s">
        <v>3051</v>
      </c>
      <c r="B647" s="112" t="s">
        <v>1953</v>
      </c>
      <c r="C647" s="121" t="s">
        <v>593</v>
      </c>
      <c r="D647" s="112">
        <v>3</v>
      </c>
      <c r="E647" s="112" t="s">
        <v>1915</v>
      </c>
      <c r="F647" s="113" t="s">
        <v>1954</v>
      </c>
      <c r="G647" s="112" t="s">
        <v>3052</v>
      </c>
      <c r="H647" s="112" t="s">
        <v>3053</v>
      </c>
      <c r="I647" s="113" t="s">
        <v>3054</v>
      </c>
    </row>
    <row r="648" spans="1:9" ht="15.75" hidden="1" thickBot="1" x14ac:dyDescent="0.3">
      <c r="A648" s="111" t="s">
        <v>3055</v>
      </c>
      <c r="B648" s="109" t="s">
        <v>1953</v>
      </c>
      <c r="C648" s="121" t="s">
        <v>593</v>
      </c>
      <c r="D648" s="109">
        <v>3</v>
      </c>
      <c r="E648" s="109" t="s">
        <v>1915</v>
      </c>
      <c r="F648" s="109"/>
      <c r="G648" s="109"/>
      <c r="H648" s="109"/>
      <c r="I648" s="109"/>
    </row>
    <row r="649" spans="1:9" ht="15.75" hidden="1" thickBot="1" x14ac:dyDescent="0.3">
      <c r="A649" s="111" t="s">
        <v>3056</v>
      </c>
      <c r="B649" s="112" t="s">
        <v>1953</v>
      </c>
      <c r="C649" s="121" t="s">
        <v>593</v>
      </c>
      <c r="D649" s="112">
        <v>3</v>
      </c>
      <c r="E649" s="112" t="s">
        <v>1915</v>
      </c>
      <c r="F649" s="113"/>
      <c r="G649" s="112"/>
      <c r="H649" s="112"/>
      <c r="I649" s="113"/>
    </row>
    <row r="650" spans="1:9" ht="15.75" hidden="1" thickBot="1" x14ac:dyDescent="0.3">
      <c r="A650" s="111" t="s">
        <v>3057</v>
      </c>
      <c r="B650" s="109" t="s">
        <v>1953</v>
      </c>
      <c r="C650" s="121" t="s">
        <v>593</v>
      </c>
      <c r="D650" s="109">
        <v>3</v>
      </c>
      <c r="E650" s="109" t="s">
        <v>1915</v>
      </c>
      <c r="F650" s="109"/>
      <c r="G650" s="109"/>
      <c r="H650" s="109"/>
      <c r="I650" s="109"/>
    </row>
    <row r="651" spans="1:9" ht="15.75" hidden="1" thickBot="1" x14ac:dyDescent="0.3">
      <c r="A651" s="111" t="s">
        <v>3058</v>
      </c>
      <c r="B651" s="112" t="s">
        <v>1953</v>
      </c>
      <c r="C651" s="121" t="s">
        <v>593</v>
      </c>
      <c r="D651" s="112">
        <v>3</v>
      </c>
      <c r="E651" s="112" t="s">
        <v>1915</v>
      </c>
      <c r="F651" s="113"/>
      <c r="G651" s="112"/>
      <c r="H651" s="112"/>
      <c r="I651" s="113"/>
    </row>
    <row r="652" spans="1:9" ht="15.75" hidden="1" thickBot="1" x14ac:dyDescent="0.3">
      <c r="A652" s="111" t="s">
        <v>3059</v>
      </c>
      <c r="B652" s="109" t="s">
        <v>1953</v>
      </c>
      <c r="C652" s="121" t="s">
        <v>593</v>
      </c>
      <c r="D652" s="109">
        <v>3</v>
      </c>
      <c r="E652" s="109" t="s">
        <v>1915</v>
      </c>
      <c r="F652" s="109"/>
      <c r="G652" s="109"/>
      <c r="H652" s="109"/>
      <c r="I652" s="109"/>
    </row>
    <row r="653" spans="1:9" ht="77.25" thickBot="1" x14ac:dyDescent="0.3">
      <c r="A653" s="112" t="s">
        <v>757</v>
      </c>
      <c r="B653" s="112" t="s">
        <v>2048</v>
      </c>
      <c r="C653" s="121" t="s">
        <v>593</v>
      </c>
      <c r="D653" s="112">
        <v>3</v>
      </c>
      <c r="E653" s="112" t="s">
        <v>1915</v>
      </c>
      <c r="F653" s="113"/>
      <c r="G653" s="112" t="s">
        <v>3060</v>
      </c>
      <c r="H653" s="112" t="s">
        <v>3061</v>
      </c>
      <c r="I653" s="113" t="s">
        <v>3062</v>
      </c>
    </row>
    <row r="654" spans="1:9" ht="15.75" thickBot="1" x14ac:dyDescent="0.3">
      <c r="A654" s="109" t="s">
        <v>3063</v>
      </c>
      <c r="B654" s="109" t="s">
        <v>1953</v>
      </c>
      <c r="C654" s="121" t="s">
        <v>593</v>
      </c>
      <c r="D654" s="109">
        <v>3</v>
      </c>
      <c r="E654" s="109"/>
      <c r="F654" s="109" t="s">
        <v>2173</v>
      </c>
      <c r="G654" s="109" t="s">
        <v>3064</v>
      </c>
      <c r="H654" s="109"/>
      <c r="I654" s="109" t="s">
        <v>2171</v>
      </c>
    </row>
    <row r="655" spans="1:9" ht="15.75" hidden="1" thickBot="1" x14ac:dyDescent="0.3">
      <c r="A655" s="111" t="s">
        <v>3065</v>
      </c>
      <c r="B655" s="112" t="s">
        <v>1953</v>
      </c>
      <c r="C655" s="121" t="s">
        <v>593</v>
      </c>
      <c r="D655" s="112">
        <v>3</v>
      </c>
      <c r="E655" s="112"/>
      <c r="F655" s="113"/>
      <c r="G655" s="112" t="s">
        <v>2483</v>
      </c>
      <c r="H655" s="112" t="s">
        <v>3066</v>
      </c>
      <c r="I655" s="113"/>
    </row>
    <row r="656" spans="1:9" ht="15.75" hidden="1" thickBot="1" x14ac:dyDescent="0.3">
      <c r="A656" s="111" t="s">
        <v>3067</v>
      </c>
      <c r="B656" s="109" t="s">
        <v>1953</v>
      </c>
      <c r="C656" s="121" t="s">
        <v>593</v>
      </c>
      <c r="D656" s="109">
        <v>3</v>
      </c>
      <c r="E656" s="109"/>
      <c r="F656" s="114"/>
      <c r="G656" s="109"/>
      <c r="H656" s="109"/>
      <c r="I656" s="109"/>
    </row>
    <row r="657" spans="1:9" ht="15.75" hidden="1" thickBot="1" x14ac:dyDescent="0.3">
      <c r="A657" s="111" t="s">
        <v>3068</v>
      </c>
      <c r="B657" s="112" t="s">
        <v>1953</v>
      </c>
      <c r="C657" s="121" t="s">
        <v>593</v>
      </c>
      <c r="D657" s="112">
        <v>3</v>
      </c>
      <c r="E657" s="112"/>
      <c r="F657" s="113"/>
      <c r="G657" s="112"/>
      <c r="H657" s="112"/>
      <c r="I657" s="113"/>
    </row>
    <row r="658" spans="1:9" ht="15.75" hidden="1" thickBot="1" x14ac:dyDescent="0.3">
      <c r="A658" s="111" t="s">
        <v>3069</v>
      </c>
      <c r="B658" s="109" t="s">
        <v>1953</v>
      </c>
      <c r="C658" s="121" t="s">
        <v>593</v>
      </c>
      <c r="D658" s="109">
        <v>3</v>
      </c>
      <c r="E658" s="109"/>
      <c r="F658" s="114"/>
      <c r="G658" s="109"/>
      <c r="H658" s="109"/>
      <c r="I658" s="109"/>
    </row>
    <row r="659" spans="1:9" ht="15.75" hidden="1" thickBot="1" x14ac:dyDescent="0.3">
      <c r="A659" s="111" t="s">
        <v>3070</v>
      </c>
      <c r="B659" s="112" t="s">
        <v>1953</v>
      </c>
      <c r="C659" s="121" t="s">
        <v>593</v>
      </c>
      <c r="D659" s="112">
        <v>3</v>
      </c>
      <c r="E659" s="112"/>
      <c r="F659" s="113"/>
      <c r="G659" s="112"/>
      <c r="H659" s="112"/>
      <c r="I659" s="113"/>
    </row>
    <row r="660" spans="1:9" ht="15.75" hidden="1" thickBot="1" x14ac:dyDescent="0.3">
      <c r="A660" s="111" t="s">
        <v>3071</v>
      </c>
      <c r="B660" s="109" t="s">
        <v>1953</v>
      </c>
      <c r="C660" s="121" t="s">
        <v>593</v>
      </c>
      <c r="D660" s="109">
        <v>3</v>
      </c>
      <c r="E660" s="109"/>
      <c r="F660" s="114"/>
      <c r="G660" s="109"/>
      <c r="H660" s="109"/>
      <c r="I660" s="109"/>
    </row>
    <row r="661" spans="1:9" ht="15.75" hidden="1" thickBot="1" x14ac:dyDescent="0.3">
      <c r="A661" s="111" t="s">
        <v>3072</v>
      </c>
      <c r="B661" s="112" t="s">
        <v>1953</v>
      </c>
      <c r="C661" s="121" t="s">
        <v>593</v>
      </c>
      <c r="D661" s="112">
        <v>3</v>
      </c>
      <c r="E661" s="112"/>
      <c r="F661" s="113"/>
      <c r="G661" s="112"/>
      <c r="H661" s="112"/>
      <c r="I661" s="113"/>
    </row>
    <row r="662" spans="1:9" ht="15.75" thickBot="1" x14ac:dyDescent="0.3">
      <c r="A662" s="109" t="s">
        <v>3073</v>
      </c>
      <c r="B662" s="109" t="s">
        <v>1953</v>
      </c>
      <c r="C662" s="121" t="s">
        <v>593</v>
      </c>
      <c r="D662" s="109">
        <v>3</v>
      </c>
      <c r="E662" s="109"/>
      <c r="F662" s="114"/>
      <c r="G662" s="109"/>
      <c r="H662" s="109"/>
      <c r="I662" s="109" t="s">
        <v>3074</v>
      </c>
    </row>
    <row r="663" spans="1:9" ht="15.75" hidden="1" thickBot="1" x14ac:dyDescent="0.3">
      <c r="A663" s="111" t="s">
        <v>3075</v>
      </c>
      <c r="B663" s="112" t="s">
        <v>1953</v>
      </c>
      <c r="C663" s="121" t="s">
        <v>593</v>
      </c>
      <c r="D663" s="112">
        <v>3</v>
      </c>
      <c r="E663" s="112"/>
      <c r="F663" s="113"/>
      <c r="G663" s="112"/>
      <c r="H663" s="112"/>
      <c r="I663" s="113"/>
    </row>
    <row r="664" spans="1:9" ht="15.75" hidden="1" thickBot="1" x14ac:dyDescent="0.3">
      <c r="A664" s="111" t="s">
        <v>3076</v>
      </c>
      <c r="B664" s="109" t="s">
        <v>1953</v>
      </c>
      <c r="C664" s="121" t="s">
        <v>593</v>
      </c>
      <c r="D664" s="109">
        <v>3</v>
      </c>
      <c r="E664" s="109"/>
      <c r="F664" s="114"/>
      <c r="G664" s="109"/>
      <c r="H664" s="109"/>
      <c r="I664" s="109"/>
    </row>
    <row r="665" spans="1:9" ht="15.75" hidden="1" thickBot="1" x14ac:dyDescent="0.3">
      <c r="A665" s="111" t="s">
        <v>3077</v>
      </c>
      <c r="B665" s="112" t="s">
        <v>1953</v>
      </c>
      <c r="C665" s="121" t="s">
        <v>593</v>
      </c>
      <c r="D665" s="112">
        <v>3</v>
      </c>
      <c r="E665" s="112"/>
      <c r="F665" s="113"/>
      <c r="G665" s="112"/>
      <c r="H665" s="112"/>
      <c r="I665" s="113"/>
    </row>
    <row r="666" spans="1:9" ht="15.75" hidden="1" thickBot="1" x14ac:dyDescent="0.3">
      <c r="A666" s="111" t="s">
        <v>3078</v>
      </c>
      <c r="B666" s="109" t="s">
        <v>1953</v>
      </c>
      <c r="C666" s="121" t="s">
        <v>593</v>
      </c>
      <c r="D666" s="109">
        <v>3</v>
      </c>
      <c r="E666" s="109"/>
      <c r="F666" s="114"/>
      <c r="G666" s="109"/>
      <c r="H666" s="109"/>
      <c r="I666" s="109"/>
    </row>
    <row r="667" spans="1:9" ht="15.75" hidden="1" thickBot="1" x14ac:dyDescent="0.3">
      <c r="A667" s="111" t="s">
        <v>3079</v>
      </c>
      <c r="B667" s="112" t="s">
        <v>1953</v>
      </c>
      <c r="C667" s="121" t="s">
        <v>593</v>
      </c>
      <c r="D667" s="112">
        <v>3</v>
      </c>
      <c r="E667" s="112"/>
      <c r="F667" s="113"/>
      <c r="G667" s="112"/>
      <c r="H667" s="112"/>
      <c r="I667" s="113"/>
    </row>
    <row r="668" spans="1:9" ht="15.75" hidden="1" thickBot="1" x14ac:dyDescent="0.3">
      <c r="A668" s="111" t="s">
        <v>3080</v>
      </c>
      <c r="B668" s="109" t="s">
        <v>1953</v>
      </c>
      <c r="C668" s="121" t="s">
        <v>593</v>
      </c>
      <c r="D668" s="109">
        <v>3</v>
      </c>
      <c r="E668" s="109"/>
      <c r="F668" s="114"/>
      <c r="G668" s="109"/>
      <c r="H668" s="109"/>
      <c r="I668" s="109"/>
    </row>
    <row r="669" spans="1:9" ht="15.75" hidden="1" thickBot="1" x14ac:dyDescent="0.3">
      <c r="A669" s="111" t="s">
        <v>3081</v>
      </c>
      <c r="B669" s="112" t="s">
        <v>1953</v>
      </c>
      <c r="C669" s="121" t="s">
        <v>593</v>
      </c>
      <c r="D669" s="112">
        <v>3</v>
      </c>
      <c r="E669" s="112"/>
      <c r="F669" s="113"/>
      <c r="G669" s="112"/>
      <c r="H669" s="112"/>
      <c r="I669" s="113"/>
    </row>
    <row r="670" spans="1:9" ht="15.75" hidden="1" thickBot="1" x14ac:dyDescent="0.3">
      <c r="A670" s="111" t="s">
        <v>3082</v>
      </c>
      <c r="B670" s="109" t="s">
        <v>1953</v>
      </c>
      <c r="C670" s="121" t="s">
        <v>593</v>
      </c>
      <c r="D670" s="109">
        <v>3</v>
      </c>
      <c r="E670" s="109"/>
      <c r="F670" s="114"/>
      <c r="G670" s="109"/>
      <c r="H670" s="109"/>
      <c r="I670" s="109"/>
    </row>
    <row r="671" spans="1:9" ht="15.75" hidden="1" thickBot="1" x14ac:dyDescent="0.3">
      <c r="A671" s="111" t="s">
        <v>3083</v>
      </c>
      <c r="B671" s="112" t="s">
        <v>1953</v>
      </c>
      <c r="C671" s="121" t="s">
        <v>593</v>
      </c>
      <c r="D671" s="112">
        <v>3</v>
      </c>
      <c r="E671" s="112"/>
      <c r="F671" s="113"/>
      <c r="G671" s="112"/>
      <c r="H671" s="112"/>
      <c r="I671" s="113"/>
    </row>
    <row r="672" spans="1:9" ht="15.75" hidden="1" thickBot="1" x14ac:dyDescent="0.3">
      <c r="A672" s="111" t="s">
        <v>3084</v>
      </c>
      <c r="B672" s="109" t="s">
        <v>1953</v>
      </c>
      <c r="C672" s="121" t="s">
        <v>593</v>
      </c>
      <c r="D672" s="109">
        <v>3</v>
      </c>
      <c r="E672" s="109"/>
      <c r="F672" s="114"/>
      <c r="G672" s="109"/>
      <c r="H672" s="109"/>
      <c r="I672" s="109"/>
    </row>
    <row r="673" spans="1:9" ht="15.75" hidden="1" thickBot="1" x14ac:dyDescent="0.3">
      <c r="A673" s="111" t="s">
        <v>3085</v>
      </c>
      <c r="B673" s="112" t="s">
        <v>1953</v>
      </c>
      <c r="C673" s="121" t="s">
        <v>593</v>
      </c>
      <c r="D673" s="112">
        <v>3</v>
      </c>
      <c r="E673" s="112"/>
      <c r="F673" s="113"/>
      <c r="G673" s="112"/>
      <c r="H673" s="112"/>
      <c r="I673" s="113"/>
    </row>
    <row r="674" spans="1:9" ht="15.75" hidden="1" thickBot="1" x14ac:dyDescent="0.3">
      <c r="A674" s="111" t="s">
        <v>3086</v>
      </c>
      <c r="B674" s="109" t="s">
        <v>1953</v>
      </c>
      <c r="C674" s="121" t="s">
        <v>593</v>
      </c>
      <c r="D674" s="109">
        <v>3</v>
      </c>
      <c r="E674" s="109"/>
      <c r="F674" s="114"/>
      <c r="G674" s="109"/>
      <c r="H674" s="109"/>
      <c r="I674" s="109"/>
    </row>
    <row r="675" spans="1:9" ht="26.25" thickBot="1" x14ac:dyDescent="0.3">
      <c r="A675" s="112" t="s">
        <v>3087</v>
      </c>
      <c r="B675" s="112" t="s">
        <v>1953</v>
      </c>
      <c r="C675" s="121" t="s">
        <v>593</v>
      </c>
      <c r="D675" s="112">
        <v>3</v>
      </c>
      <c r="E675" s="112"/>
      <c r="F675" s="113"/>
      <c r="G675" s="112"/>
      <c r="H675" s="112"/>
      <c r="I675" s="113" t="s">
        <v>3088</v>
      </c>
    </row>
    <row r="676" spans="1:9" ht="15.75" thickBot="1" x14ac:dyDescent="0.3">
      <c r="A676" s="109" t="s">
        <v>3089</v>
      </c>
      <c r="B676" s="109" t="s">
        <v>1953</v>
      </c>
      <c r="C676" s="121" t="s">
        <v>593</v>
      </c>
      <c r="D676" s="109">
        <v>3</v>
      </c>
      <c r="E676" s="109"/>
      <c r="F676" s="114"/>
      <c r="G676" s="109"/>
      <c r="H676" s="109"/>
      <c r="I676" s="109" t="s">
        <v>3090</v>
      </c>
    </row>
    <row r="677" spans="1:9" ht="15.75" hidden="1" thickBot="1" x14ac:dyDescent="0.3">
      <c r="A677" s="111" t="s">
        <v>3091</v>
      </c>
      <c r="B677" s="112" t="s">
        <v>1953</v>
      </c>
      <c r="C677" s="121" t="s">
        <v>593</v>
      </c>
      <c r="D677" s="112">
        <v>3</v>
      </c>
      <c r="E677" s="112"/>
      <c r="F677" s="113"/>
      <c r="G677" s="112"/>
      <c r="H677" s="112"/>
      <c r="I677" s="113"/>
    </row>
    <row r="678" spans="1:9" ht="15.75" hidden="1" thickBot="1" x14ac:dyDescent="0.3">
      <c r="A678" s="111" t="s">
        <v>3092</v>
      </c>
      <c r="B678" s="109" t="s">
        <v>1953</v>
      </c>
      <c r="C678" s="121" t="s">
        <v>593</v>
      </c>
      <c r="D678" s="109">
        <v>3</v>
      </c>
      <c r="E678" s="109"/>
      <c r="F678" s="114"/>
      <c r="G678" s="109"/>
      <c r="H678" s="109"/>
      <c r="I678" s="109"/>
    </row>
    <row r="679" spans="1:9" ht="15.75" hidden="1" thickBot="1" x14ac:dyDescent="0.3">
      <c r="A679" s="111" t="s">
        <v>3093</v>
      </c>
      <c r="B679" s="112" t="s">
        <v>1953</v>
      </c>
      <c r="C679" s="121" t="s">
        <v>593</v>
      </c>
      <c r="D679" s="112">
        <v>3</v>
      </c>
      <c r="E679" s="112"/>
      <c r="F679" s="113"/>
      <c r="G679" s="112"/>
      <c r="H679" s="112"/>
      <c r="I679" s="113"/>
    </row>
    <row r="680" spans="1:9" ht="15.75" hidden="1" thickBot="1" x14ac:dyDescent="0.3">
      <c r="A680" s="111" t="s">
        <v>3094</v>
      </c>
      <c r="B680" s="109" t="s">
        <v>1953</v>
      </c>
      <c r="C680" s="121" t="s">
        <v>593</v>
      </c>
      <c r="D680" s="109">
        <v>3</v>
      </c>
      <c r="E680" s="109"/>
      <c r="F680" s="114"/>
      <c r="G680" s="109"/>
      <c r="H680" s="109"/>
      <c r="I680" s="109"/>
    </row>
    <row r="681" spans="1:9" ht="15.75" hidden="1" thickBot="1" x14ac:dyDescent="0.3">
      <c r="A681" s="111" t="s">
        <v>3095</v>
      </c>
      <c r="B681" s="112" t="s">
        <v>1953</v>
      </c>
      <c r="C681" s="121" t="s">
        <v>593</v>
      </c>
      <c r="D681" s="112">
        <v>3</v>
      </c>
      <c r="E681" s="112"/>
      <c r="F681" s="113"/>
      <c r="G681" s="112"/>
      <c r="H681" s="112"/>
      <c r="I681" s="113"/>
    </row>
    <row r="682" spans="1:9" ht="15.75" hidden="1" thickBot="1" x14ac:dyDescent="0.3">
      <c r="A682" s="111" t="s">
        <v>3096</v>
      </c>
      <c r="B682" s="109" t="s">
        <v>1953</v>
      </c>
      <c r="C682" s="121" t="s">
        <v>593</v>
      </c>
      <c r="D682" s="109">
        <v>3</v>
      </c>
      <c r="E682" s="109"/>
      <c r="F682" s="114"/>
      <c r="G682" s="109"/>
      <c r="H682" s="109"/>
      <c r="I682" s="109"/>
    </row>
    <row r="683" spans="1:9" ht="15.75" hidden="1" thickBot="1" x14ac:dyDescent="0.3">
      <c r="A683" s="111" t="s">
        <v>3097</v>
      </c>
      <c r="B683" s="112" t="s">
        <v>1953</v>
      </c>
      <c r="C683" s="121" t="s">
        <v>593</v>
      </c>
      <c r="D683" s="112">
        <v>3</v>
      </c>
      <c r="E683" s="112"/>
      <c r="F683" s="113"/>
      <c r="G683" s="112"/>
      <c r="H683" s="112"/>
      <c r="I683" s="113"/>
    </row>
    <row r="684" spans="1:9" ht="15.75" hidden="1" thickBot="1" x14ac:dyDescent="0.3">
      <c r="A684" s="111" t="s">
        <v>3098</v>
      </c>
      <c r="B684" s="109" t="s">
        <v>1953</v>
      </c>
      <c r="C684" s="121" t="s">
        <v>593</v>
      </c>
      <c r="D684" s="109">
        <v>3</v>
      </c>
      <c r="E684" s="109"/>
      <c r="F684" s="114"/>
      <c r="G684" s="109"/>
      <c r="H684" s="109"/>
      <c r="I684" s="109"/>
    </row>
    <row r="685" spans="1:9" ht="15.75" hidden="1" thickBot="1" x14ac:dyDescent="0.3">
      <c r="A685" s="111" t="s">
        <v>3099</v>
      </c>
      <c r="B685" s="112" t="s">
        <v>1953</v>
      </c>
      <c r="C685" s="121" t="s">
        <v>593</v>
      </c>
      <c r="D685" s="112">
        <v>3</v>
      </c>
      <c r="E685" s="112"/>
      <c r="F685" s="113"/>
      <c r="G685" s="112"/>
      <c r="H685" s="112"/>
      <c r="I685" s="113"/>
    </row>
    <row r="686" spans="1:9" ht="15.75" hidden="1" thickBot="1" x14ac:dyDescent="0.3">
      <c r="A686" s="111" t="s">
        <v>3100</v>
      </c>
      <c r="B686" s="109" t="s">
        <v>1953</v>
      </c>
      <c r="C686" s="121" t="s">
        <v>593</v>
      </c>
      <c r="D686" s="109">
        <v>3</v>
      </c>
      <c r="E686" s="109"/>
      <c r="F686" s="114"/>
      <c r="G686" s="109"/>
      <c r="H686" s="109"/>
      <c r="I686" s="109"/>
    </row>
    <row r="687" spans="1:9" ht="15.75" hidden="1" thickBot="1" x14ac:dyDescent="0.3">
      <c r="A687" s="111" t="s">
        <v>3101</v>
      </c>
      <c r="B687" s="112" t="s">
        <v>1953</v>
      </c>
      <c r="C687" s="121" t="s">
        <v>593</v>
      </c>
      <c r="D687" s="112">
        <v>3</v>
      </c>
      <c r="E687" s="112"/>
      <c r="F687" s="113"/>
      <c r="G687" s="112"/>
      <c r="H687" s="112"/>
      <c r="I687" s="113"/>
    </row>
    <row r="688" spans="1:9" ht="15.75" hidden="1" thickBot="1" x14ac:dyDescent="0.3">
      <c r="A688" s="111" t="s">
        <v>3102</v>
      </c>
      <c r="B688" s="109" t="s">
        <v>1953</v>
      </c>
      <c r="C688" s="121" t="s">
        <v>593</v>
      </c>
      <c r="D688" s="109">
        <v>3</v>
      </c>
      <c r="E688" s="109"/>
      <c r="F688" s="114"/>
      <c r="G688" s="109"/>
      <c r="H688" s="109"/>
      <c r="I688" s="109"/>
    </row>
    <row r="689" spans="1:9" ht="15.75" hidden="1" thickBot="1" x14ac:dyDescent="0.3">
      <c r="A689" s="111" t="s">
        <v>3103</v>
      </c>
      <c r="B689" s="112" t="s">
        <v>1953</v>
      </c>
      <c r="C689" s="121" t="s">
        <v>593</v>
      </c>
      <c r="D689" s="112">
        <v>3</v>
      </c>
      <c r="E689" s="112"/>
      <c r="F689" s="113"/>
      <c r="G689" s="112"/>
      <c r="H689" s="112"/>
      <c r="I689" s="113"/>
    </row>
    <row r="690" spans="1:9" ht="15.75" hidden="1" thickBot="1" x14ac:dyDescent="0.3">
      <c r="A690" s="111" t="s">
        <v>3104</v>
      </c>
      <c r="B690" s="109" t="s">
        <v>1953</v>
      </c>
      <c r="C690" s="121" t="s">
        <v>593</v>
      </c>
      <c r="D690" s="109">
        <v>3</v>
      </c>
      <c r="E690" s="109"/>
      <c r="F690" s="114"/>
      <c r="G690" s="109"/>
      <c r="H690" s="109"/>
      <c r="I690" s="109"/>
    </row>
    <row r="691" spans="1:9" ht="15.75" hidden="1" thickBot="1" x14ac:dyDescent="0.3">
      <c r="A691" s="111" t="s">
        <v>3105</v>
      </c>
      <c r="B691" s="112" t="s">
        <v>1953</v>
      </c>
      <c r="C691" s="121" t="s">
        <v>593</v>
      </c>
      <c r="D691" s="112">
        <v>3</v>
      </c>
      <c r="E691" s="112"/>
      <c r="F691" s="113"/>
      <c r="G691" s="112"/>
      <c r="H691" s="112"/>
      <c r="I691" s="113"/>
    </row>
    <row r="692" spans="1:9" ht="15.75" hidden="1" thickBot="1" x14ac:dyDescent="0.3">
      <c r="A692" s="111" t="s">
        <v>3106</v>
      </c>
      <c r="B692" s="109" t="s">
        <v>1953</v>
      </c>
      <c r="C692" s="121" t="s">
        <v>593</v>
      </c>
      <c r="D692" s="109">
        <v>3</v>
      </c>
      <c r="E692" s="109"/>
      <c r="F692" s="114"/>
      <c r="G692" s="109"/>
      <c r="H692" s="109"/>
      <c r="I692" s="109"/>
    </row>
    <row r="693" spans="1:9" ht="15.75" hidden="1" thickBot="1" x14ac:dyDescent="0.3">
      <c r="A693" s="111" t="s">
        <v>3107</v>
      </c>
      <c r="B693" s="112" t="s">
        <v>1953</v>
      </c>
      <c r="C693" s="121" t="s">
        <v>593</v>
      </c>
      <c r="D693" s="112">
        <v>3</v>
      </c>
      <c r="E693" s="112"/>
      <c r="F693" s="113"/>
      <c r="G693" s="112"/>
      <c r="H693" s="112"/>
      <c r="I693" s="113"/>
    </row>
    <row r="694" spans="1:9" ht="64.5" thickBot="1" x14ac:dyDescent="0.3">
      <c r="A694" s="109" t="s">
        <v>869</v>
      </c>
      <c r="B694" s="109" t="s">
        <v>2023</v>
      </c>
      <c r="C694" s="121" t="s">
        <v>593</v>
      </c>
      <c r="D694" s="109">
        <v>3</v>
      </c>
      <c r="E694" s="109" t="s">
        <v>1915</v>
      </c>
      <c r="F694" s="109" t="s">
        <v>1978</v>
      </c>
      <c r="G694" s="109" t="s">
        <v>2483</v>
      </c>
      <c r="H694" s="109" t="s">
        <v>3108</v>
      </c>
      <c r="I694" s="109" t="s">
        <v>3109</v>
      </c>
    </row>
    <row r="695" spans="1:9" ht="15.75" hidden="1" thickBot="1" x14ac:dyDescent="0.3">
      <c r="A695" s="111" t="s">
        <v>3110</v>
      </c>
      <c r="B695" s="112" t="s">
        <v>2023</v>
      </c>
      <c r="C695" s="121" t="s">
        <v>593</v>
      </c>
      <c r="D695" s="112">
        <v>3</v>
      </c>
      <c r="E695" s="112" t="s">
        <v>1915</v>
      </c>
      <c r="F695" s="113"/>
      <c r="G695" s="112" t="s">
        <v>3111</v>
      </c>
      <c r="H695" s="112" t="s">
        <v>3112</v>
      </c>
      <c r="I695" s="113"/>
    </row>
    <row r="696" spans="1:9" ht="51.75" thickBot="1" x14ac:dyDescent="0.3">
      <c r="A696" s="109" t="s">
        <v>3113</v>
      </c>
      <c r="B696" s="109" t="s">
        <v>2023</v>
      </c>
      <c r="C696" s="121" t="s">
        <v>593</v>
      </c>
      <c r="D696" s="109">
        <v>3</v>
      </c>
      <c r="E696" s="109" t="s">
        <v>1915</v>
      </c>
      <c r="F696" s="114"/>
      <c r="G696" s="109" t="s">
        <v>3111</v>
      </c>
      <c r="H696" s="109" t="s">
        <v>3114</v>
      </c>
      <c r="I696" s="109" t="s">
        <v>3115</v>
      </c>
    </row>
    <row r="697" spans="1:9" ht="77.25" thickBot="1" x14ac:dyDescent="0.3">
      <c r="A697" s="112" t="s">
        <v>687</v>
      </c>
      <c r="B697" s="112" t="s">
        <v>2023</v>
      </c>
      <c r="C697" s="121" t="s">
        <v>593</v>
      </c>
      <c r="D697" s="112">
        <v>3</v>
      </c>
      <c r="E697" s="112" t="s">
        <v>1915</v>
      </c>
      <c r="F697" s="113" t="s">
        <v>1978</v>
      </c>
      <c r="G697" s="112" t="s">
        <v>3111</v>
      </c>
      <c r="H697" s="112" t="s">
        <v>3116</v>
      </c>
      <c r="I697" s="113" t="s">
        <v>3117</v>
      </c>
    </row>
    <row r="698" spans="1:9" ht="64.5" thickBot="1" x14ac:dyDescent="0.3">
      <c r="A698" s="109" t="s">
        <v>684</v>
      </c>
      <c r="B698" s="109" t="s">
        <v>2023</v>
      </c>
      <c r="C698" s="121" t="s">
        <v>593</v>
      </c>
      <c r="D698" s="109">
        <v>3</v>
      </c>
      <c r="E698" s="109" t="s">
        <v>1915</v>
      </c>
      <c r="F698" s="109" t="s">
        <v>1978</v>
      </c>
      <c r="G698" s="109" t="s">
        <v>2487</v>
      </c>
      <c r="H698" s="109" t="s">
        <v>3118</v>
      </c>
      <c r="I698" s="109" t="s">
        <v>3119</v>
      </c>
    </row>
    <row r="699" spans="1:9" ht="39" thickBot="1" x14ac:dyDescent="0.3">
      <c r="A699" s="112" t="s">
        <v>870</v>
      </c>
      <c r="B699" s="112" t="s">
        <v>2023</v>
      </c>
      <c r="C699" s="121" t="s">
        <v>593</v>
      </c>
      <c r="D699" s="112">
        <v>3</v>
      </c>
      <c r="E699" s="112" t="s">
        <v>1915</v>
      </c>
      <c r="F699" s="113" t="s">
        <v>1978</v>
      </c>
      <c r="G699" s="112" t="s">
        <v>2487</v>
      </c>
      <c r="H699" s="112" t="s">
        <v>3120</v>
      </c>
      <c r="I699" s="113" t="s">
        <v>3121</v>
      </c>
    </row>
    <row r="700" spans="1:9" ht="15.75" thickBot="1" x14ac:dyDescent="0.3">
      <c r="A700" s="109" t="s">
        <v>672</v>
      </c>
      <c r="B700" s="109" t="s">
        <v>2023</v>
      </c>
      <c r="C700" s="121" t="s">
        <v>593</v>
      </c>
      <c r="D700" s="109">
        <v>3</v>
      </c>
      <c r="E700" s="109" t="s">
        <v>1915</v>
      </c>
      <c r="F700" s="109"/>
      <c r="G700" s="109" t="s">
        <v>3038</v>
      </c>
      <c r="H700" s="109" t="s">
        <v>58</v>
      </c>
      <c r="I700" s="109" t="s">
        <v>3122</v>
      </c>
    </row>
    <row r="701" spans="1:9" ht="26.25" thickBot="1" x14ac:dyDescent="0.3">
      <c r="A701" s="112" t="s">
        <v>789</v>
      </c>
      <c r="B701" s="112" t="s">
        <v>2023</v>
      </c>
      <c r="C701" s="121" t="s">
        <v>593</v>
      </c>
      <c r="D701" s="112">
        <v>3</v>
      </c>
      <c r="E701" s="112" t="s">
        <v>1915</v>
      </c>
      <c r="F701" s="113"/>
      <c r="G701" s="112" t="s">
        <v>3123</v>
      </c>
      <c r="H701" s="112" t="s">
        <v>58</v>
      </c>
      <c r="I701" s="113" t="s">
        <v>3124</v>
      </c>
    </row>
    <row r="702" spans="1:9" ht="77.25" thickBot="1" x14ac:dyDescent="0.3">
      <c r="A702" s="109" t="s">
        <v>727</v>
      </c>
      <c r="B702" s="109" t="s">
        <v>2023</v>
      </c>
      <c r="C702" s="121" t="s">
        <v>593</v>
      </c>
      <c r="D702" s="109">
        <v>3</v>
      </c>
      <c r="E702" s="109" t="s">
        <v>1915</v>
      </c>
      <c r="F702" s="109" t="s">
        <v>1978</v>
      </c>
      <c r="G702" s="109" t="s">
        <v>2058</v>
      </c>
      <c r="H702" s="109" t="s">
        <v>3125</v>
      </c>
      <c r="I702" s="109" t="s">
        <v>3126</v>
      </c>
    </row>
    <row r="703" spans="1:9" ht="15.75" thickBot="1" x14ac:dyDescent="0.3">
      <c r="A703" s="112" t="s">
        <v>3127</v>
      </c>
      <c r="B703" s="112" t="s">
        <v>1895</v>
      </c>
      <c r="C703" s="121" t="s">
        <v>593</v>
      </c>
      <c r="D703" s="112">
        <v>3</v>
      </c>
      <c r="E703" s="112"/>
      <c r="F703" s="113"/>
      <c r="G703" s="112" t="s">
        <v>2440</v>
      </c>
      <c r="H703" s="112"/>
      <c r="I703" s="113" t="s">
        <v>2441</v>
      </c>
    </row>
    <row r="704" spans="1:9" ht="26.25" thickBot="1" x14ac:dyDescent="0.3">
      <c r="A704" s="109" t="s">
        <v>703</v>
      </c>
      <c r="B704" s="109" t="s">
        <v>1895</v>
      </c>
      <c r="C704" s="121" t="s">
        <v>593</v>
      </c>
      <c r="D704" s="109">
        <v>3</v>
      </c>
      <c r="E704" s="109" t="s">
        <v>1915</v>
      </c>
      <c r="F704" s="114"/>
      <c r="G704" s="109" t="s">
        <v>2554</v>
      </c>
      <c r="H704" s="109" t="s">
        <v>3128</v>
      </c>
      <c r="I704" s="109" t="s">
        <v>3129</v>
      </c>
    </row>
    <row r="705" spans="1:9" ht="15.75" thickBot="1" x14ac:dyDescent="0.3">
      <c r="A705" s="112" t="s">
        <v>3130</v>
      </c>
      <c r="B705" s="112" t="s">
        <v>1895</v>
      </c>
      <c r="C705" s="121" t="s">
        <v>593</v>
      </c>
      <c r="D705" s="112">
        <v>3</v>
      </c>
      <c r="E705" s="112"/>
      <c r="F705" s="113"/>
      <c r="G705" s="112" t="s">
        <v>2832</v>
      </c>
      <c r="H705" s="112" t="s">
        <v>58</v>
      </c>
      <c r="I705" s="113" t="s">
        <v>2832</v>
      </c>
    </row>
    <row r="706" spans="1:9" ht="15.75" thickBot="1" x14ac:dyDescent="0.3">
      <c r="A706" s="109" t="s">
        <v>3131</v>
      </c>
      <c r="B706" s="109" t="s">
        <v>1953</v>
      </c>
      <c r="C706" s="121" t="s">
        <v>593</v>
      </c>
      <c r="D706" s="109">
        <v>3</v>
      </c>
      <c r="E706" s="109"/>
      <c r="F706" s="109" t="s">
        <v>3132</v>
      </c>
      <c r="G706" s="109" t="s">
        <v>3133</v>
      </c>
      <c r="H706" s="109"/>
      <c r="I706" s="109" t="s">
        <v>3134</v>
      </c>
    </row>
    <row r="707" spans="1:9" ht="15.75" hidden="1" thickBot="1" x14ac:dyDescent="0.3">
      <c r="A707" s="112" t="s">
        <v>3135</v>
      </c>
      <c r="B707" s="112" t="s">
        <v>1890</v>
      </c>
      <c r="C707" s="123" t="s">
        <v>402</v>
      </c>
      <c r="D707" s="112">
        <v>4</v>
      </c>
      <c r="E707" s="112"/>
      <c r="F707" s="113"/>
      <c r="G707" s="112"/>
      <c r="H707" s="112" t="s">
        <v>3136</v>
      </c>
      <c r="I707" s="113" t="s">
        <v>3137</v>
      </c>
    </row>
    <row r="708" spans="1:9" ht="15.75" hidden="1" thickBot="1" x14ac:dyDescent="0.3">
      <c r="A708" s="111" t="s">
        <v>3138</v>
      </c>
      <c r="B708" s="109" t="s">
        <v>1890</v>
      </c>
      <c r="C708" s="123" t="s">
        <v>402</v>
      </c>
      <c r="D708" s="109">
        <v>4</v>
      </c>
      <c r="E708" s="109"/>
      <c r="F708" s="114"/>
      <c r="G708" s="109"/>
      <c r="H708" s="109" t="s">
        <v>3139</v>
      </c>
      <c r="I708" s="109"/>
    </row>
    <row r="709" spans="1:9" ht="15.75" hidden="1" thickBot="1" x14ac:dyDescent="0.3">
      <c r="A709" s="111" t="s">
        <v>3140</v>
      </c>
      <c r="B709" s="112" t="s">
        <v>1890</v>
      </c>
      <c r="C709" s="123" t="s">
        <v>402</v>
      </c>
      <c r="D709" s="112">
        <v>4</v>
      </c>
      <c r="E709" s="112"/>
      <c r="F709" s="113"/>
      <c r="G709" s="112"/>
      <c r="H709" s="112" t="s">
        <v>3141</v>
      </c>
      <c r="I709" s="113"/>
    </row>
    <row r="710" spans="1:9" ht="26.25" hidden="1" thickBot="1" x14ac:dyDescent="0.3">
      <c r="A710" s="109" t="s">
        <v>3142</v>
      </c>
      <c r="B710" s="109" t="s">
        <v>1890</v>
      </c>
      <c r="C710" s="123" t="s">
        <v>402</v>
      </c>
      <c r="D710" s="109">
        <v>4</v>
      </c>
      <c r="E710" s="109"/>
      <c r="F710" s="114"/>
      <c r="G710" s="109"/>
      <c r="H710" s="109" t="s">
        <v>3143</v>
      </c>
      <c r="I710" s="109" t="s">
        <v>3144</v>
      </c>
    </row>
    <row r="711" spans="1:9" ht="15.75" hidden="1" thickBot="1" x14ac:dyDescent="0.3">
      <c r="A711" s="111" t="s">
        <v>3145</v>
      </c>
      <c r="B711" s="112" t="s">
        <v>1890</v>
      </c>
      <c r="C711" s="123" t="s">
        <v>402</v>
      </c>
      <c r="D711" s="112">
        <v>4</v>
      </c>
      <c r="E711" s="112"/>
      <c r="F711" s="113"/>
      <c r="G711" s="112"/>
      <c r="H711" s="112"/>
      <c r="I711" s="113"/>
    </row>
    <row r="712" spans="1:9" ht="26.25" hidden="1" thickBot="1" x14ac:dyDescent="0.3">
      <c r="A712" s="109" t="s">
        <v>3146</v>
      </c>
      <c r="B712" s="109" t="s">
        <v>1890</v>
      </c>
      <c r="C712" s="123" t="s">
        <v>402</v>
      </c>
      <c r="D712" s="109">
        <v>4</v>
      </c>
      <c r="E712" s="109"/>
      <c r="F712" s="114"/>
      <c r="G712" s="109"/>
      <c r="H712" s="109" t="s">
        <v>3147</v>
      </c>
      <c r="I712" s="109" t="s">
        <v>3148</v>
      </c>
    </row>
    <row r="713" spans="1:9" ht="15.75" hidden="1" thickBot="1" x14ac:dyDescent="0.3">
      <c r="A713" s="111" t="s">
        <v>3149</v>
      </c>
      <c r="B713" s="116" t="s">
        <v>1890</v>
      </c>
      <c r="C713" s="124" t="s">
        <v>402</v>
      </c>
      <c r="D713" s="116">
        <v>4</v>
      </c>
      <c r="E713" s="116"/>
      <c r="F713" s="118"/>
      <c r="G713" s="116"/>
      <c r="H713" s="116"/>
      <c r="I713" s="113"/>
    </row>
    <row r="714" spans="1:9" ht="39" hidden="1" thickBot="1" x14ac:dyDescent="0.3">
      <c r="A714" s="109" t="s">
        <v>3150</v>
      </c>
      <c r="B714" s="109" t="s">
        <v>1890</v>
      </c>
      <c r="C714" s="123" t="s">
        <v>402</v>
      </c>
      <c r="D714" s="109">
        <v>4</v>
      </c>
      <c r="E714" s="109"/>
      <c r="F714" s="114"/>
      <c r="G714" s="109"/>
      <c r="H714" s="109" t="s">
        <v>3151</v>
      </c>
      <c r="I714" s="109" t="s">
        <v>3152</v>
      </c>
    </row>
    <row r="715" spans="1:9" ht="15.75" hidden="1" thickBot="1" x14ac:dyDescent="0.3">
      <c r="A715" s="111" t="s">
        <v>3153</v>
      </c>
      <c r="B715" s="116" t="s">
        <v>1890</v>
      </c>
      <c r="C715" s="124" t="s">
        <v>402</v>
      </c>
      <c r="D715" s="116">
        <v>4</v>
      </c>
      <c r="E715" s="116"/>
      <c r="F715" s="118"/>
      <c r="G715" s="116"/>
      <c r="H715" s="116" t="s">
        <v>3147</v>
      </c>
      <c r="I715" s="113"/>
    </row>
    <row r="716" spans="1:9" ht="15.75" hidden="1" thickBot="1" x14ac:dyDescent="0.3">
      <c r="A716" s="111" t="s">
        <v>3154</v>
      </c>
      <c r="B716" s="109" t="s">
        <v>1890</v>
      </c>
      <c r="C716" s="123" t="s">
        <v>402</v>
      </c>
      <c r="D716" s="109">
        <v>4</v>
      </c>
      <c r="E716" s="109"/>
      <c r="F716" s="114"/>
      <c r="G716" s="109"/>
      <c r="H716" s="109" t="s">
        <v>3155</v>
      </c>
      <c r="I716" s="109"/>
    </row>
    <row r="717" spans="1:9" ht="15.75" hidden="1" thickBot="1" x14ac:dyDescent="0.3">
      <c r="A717" s="111" t="s">
        <v>3156</v>
      </c>
      <c r="B717" s="112" t="s">
        <v>1890</v>
      </c>
      <c r="C717" s="123" t="s">
        <v>402</v>
      </c>
      <c r="D717" s="112">
        <v>4</v>
      </c>
      <c r="E717" s="112"/>
      <c r="F717" s="113"/>
      <c r="G717" s="112"/>
      <c r="H717" s="112" t="s">
        <v>3157</v>
      </c>
      <c r="I717" s="113"/>
    </row>
    <row r="718" spans="1:9" ht="26.25" hidden="1" thickBot="1" x14ac:dyDescent="0.3">
      <c r="A718" s="109" t="s">
        <v>3158</v>
      </c>
      <c r="B718" s="109" t="s">
        <v>1890</v>
      </c>
      <c r="C718" s="123" t="s">
        <v>402</v>
      </c>
      <c r="D718" s="109">
        <v>4</v>
      </c>
      <c r="E718" s="109"/>
      <c r="F718" s="114"/>
      <c r="G718" s="109"/>
      <c r="H718" s="109" t="s">
        <v>3159</v>
      </c>
      <c r="I718" s="109" t="s">
        <v>3160</v>
      </c>
    </row>
    <row r="719" spans="1:9" ht="15.75" hidden="1" thickBot="1" x14ac:dyDescent="0.3">
      <c r="A719" s="111" t="s">
        <v>3161</v>
      </c>
      <c r="B719" s="116" t="s">
        <v>1895</v>
      </c>
      <c r="C719" s="124" t="s">
        <v>402</v>
      </c>
      <c r="D719" s="112">
        <v>4</v>
      </c>
      <c r="E719" s="116" t="s">
        <v>1915</v>
      </c>
      <c r="F719" s="118" t="s">
        <v>2030</v>
      </c>
      <c r="G719" s="116" t="s">
        <v>1950</v>
      </c>
      <c r="H719" s="116"/>
      <c r="I719" s="113"/>
    </row>
    <row r="720" spans="1:9" ht="15.75" hidden="1" thickBot="1" x14ac:dyDescent="0.3">
      <c r="A720" s="111" t="s">
        <v>3162</v>
      </c>
      <c r="B720" s="119" t="s">
        <v>1895</v>
      </c>
      <c r="C720" s="124" t="s">
        <v>402</v>
      </c>
      <c r="D720" s="109">
        <v>4</v>
      </c>
      <c r="E720" s="119" t="s">
        <v>1915</v>
      </c>
      <c r="F720" s="120" t="s">
        <v>2033</v>
      </c>
      <c r="G720" s="119" t="s">
        <v>2589</v>
      </c>
      <c r="H720" s="119" t="s">
        <v>58</v>
      </c>
      <c r="I720" s="109"/>
    </row>
    <row r="721" spans="1:9" ht="26.25" hidden="1" thickBot="1" x14ac:dyDescent="0.3">
      <c r="A721" s="112" t="s">
        <v>3163</v>
      </c>
      <c r="B721" s="116" t="s">
        <v>1895</v>
      </c>
      <c r="C721" s="124" t="s">
        <v>402</v>
      </c>
      <c r="D721" s="112">
        <v>4</v>
      </c>
      <c r="E721" s="116" t="s">
        <v>1915</v>
      </c>
      <c r="F721" s="118"/>
      <c r="G721" s="116" t="s">
        <v>1950</v>
      </c>
      <c r="H721" s="116"/>
      <c r="I721" s="113" t="s">
        <v>3164</v>
      </c>
    </row>
    <row r="722" spans="1:9" ht="15.75" hidden="1" thickBot="1" x14ac:dyDescent="0.3">
      <c r="A722" s="109" t="s">
        <v>3165</v>
      </c>
      <c r="B722" s="119" t="s">
        <v>1895</v>
      </c>
      <c r="C722" s="124" t="s">
        <v>402</v>
      </c>
      <c r="D722" s="109">
        <v>4</v>
      </c>
      <c r="E722" s="119" t="s">
        <v>1915</v>
      </c>
      <c r="F722" s="119" t="s">
        <v>2038</v>
      </c>
      <c r="G722" s="119" t="s">
        <v>1950</v>
      </c>
      <c r="H722" s="119"/>
      <c r="I722" s="109" t="s">
        <v>3166</v>
      </c>
    </row>
    <row r="723" spans="1:9" ht="15.75" hidden="1" thickBot="1" x14ac:dyDescent="0.3">
      <c r="A723" s="111" t="s">
        <v>3167</v>
      </c>
      <c r="B723" s="112" t="s">
        <v>1895</v>
      </c>
      <c r="C723" s="123" t="s">
        <v>402</v>
      </c>
      <c r="D723" s="112">
        <v>4</v>
      </c>
      <c r="E723" s="112" t="s">
        <v>1915</v>
      </c>
      <c r="F723" s="113" t="s">
        <v>2040</v>
      </c>
      <c r="G723" s="112" t="s">
        <v>2041</v>
      </c>
      <c r="H723" s="112" t="s">
        <v>58</v>
      </c>
      <c r="I723" s="113"/>
    </row>
    <row r="724" spans="1:9" ht="15.75" hidden="1" thickBot="1" x14ac:dyDescent="0.3">
      <c r="A724" s="111" t="s">
        <v>3168</v>
      </c>
      <c r="B724" s="119" t="s">
        <v>1895</v>
      </c>
      <c r="C724" s="124" t="s">
        <v>402</v>
      </c>
      <c r="D724" s="119">
        <v>4</v>
      </c>
      <c r="E724" s="119" t="s">
        <v>1915</v>
      </c>
      <c r="F724" s="120"/>
      <c r="G724" s="119" t="s">
        <v>1950</v>
      </c>
      <c r="H724" s="119"/>
      <c r="I724" s="109"/>
    </row>
    <row r="725" spans="1:9" ht="15.75" hidden="1" thickBot="1" x14ac:dyDescent="0.3">
      <c r="A725" s="111" t="s">
        <v>3169</v>
      </c>
      <c r="B725" s="116" t="s">
        <v>1895</v>
      </c>
      <c r="C725" s="124" t="s">
        <v>402</v>
      </c>
      <c r="D725" s="112">
        <v>4</v>
      </c>
      <c r="E725" s="116" t="s">
        <v>1915</v>
      </c>
      <c r="F725" s="116" t="s">
        <v>2046</v>
      </c>
      <c r="G725" s="116" t="s">
        <v>1950</v>
      </c>
      <c r="H725" s="116"/>
      <c r="I725" s="113"/>
    </row>
    <row r="726" spans="1:9" ht="15.75" hidden="1" thickBot="1" x14ac:dyDescent="0.3">
      <c r="A726" s="109" t="s">
        <v>3170</v>
      </c>
      <c r="B726" s="109" t="s">
        <v>2048</v>
      </c>
      <c r="C726" s="123" t="s">
        <v>402</v>
      </c>
      <c r="D726" s="109">
        <v>4</v>
      </c>
      <c r="E726" s="109" t="s">
        <v>1915</v>
      </c>
      <c r="F726" s="109" t="s">
        <v>2049</v>
      </c>
      <c r="G726" s="109" t="s">
        <v>2050</v>
      </c>
      <c r="H726" s="109" t="s">
        <v>3171</v>
      </c>
      <c r="I726" s="109" t="s">
        <v>3172</v>
      </c>
    </row>
    <row r="727" spans="1:9" ht="39" hidden="1" thickBot="1" x14ac:dyDescent="0.3">
      <c r="A727" s="112" t="s">
        <v>1752</v>
      </c>
      <c r="B727" s="112" t="s">
        <v>1890</v>
      </c>
      <c r="C727" s="123" t="s">
        <v>402</v>
      </c>
      <c r="D727" s="112">
        <v>4</v>
      </c>
      <c r="E727" s="112"/>
      <c r="F727" s="113" t="s">
        <v>1982</v>
      </c>
      <c r="G727" s="112" t="s">
        <v>2054</v>
      </c>
      <c r="H727" s="112" t="s">
        <v>3173</v>
      </c>
      <c r="I727" s="113" t="s">
        <v>3174</v>
      </c>
    </row>
    <row r="728" spans="1:9" ht="39" hidden="1" thickBot="1" x14ac:dyDescent="0.3">
      <c r="A728" s="109" t="s">
        <v>3175</v>
      </c>
      <c r="B728" s="109" t="s">
        <v>2023</v>
      </c>
      <c r="C728" s="123" t="s">
        <v>402</v>
      </c>
      <c r="D728" s="109">
        <v>4</v>
      </c>
      <c r="E728" s="109" t="s">
        <v>1915</v>
      </c>
      <c r="F728" s="109" t="s">
        <v>1978</v>
      </c>
      <c r="G728" s="109" t="s">
        <v>2058</v>
      </c>
      <c r="H728" s="109" t="s">
        <v>3176</v>
      </c>
      <c r="I728" s="109" t="s">
        <v>3177</v>
      </c>
    </row>
    <row r="729" spans="1:9" ht="15.75" hidden="1" thickBot="1" x14ac:dyDescent="0.3">
      <c r="A729" s="112" t="s">
        <v>3178</v>
      </c>
      <c r="B729" s="112" t="s">
        <v>1953</v>
      </c>
      <c r="C729" s="123" t="s">
        <v>402</v>
      </c>
      <c r="D729" s="112">
        <v>4</v>
      </c>
      <c r="E729" s="112"/>
      <c r="F729" s="113"/>
      <c r="G729" s="112"/>
      <c r="H729" s="112"/>
      <c r="I729" s="113" t="s">
        <v>3179</v>
      </c>
    </row>
    <row r="730" spans="1:9" ht="15.75" hidden="1" thickBot="1" x14ac:dyDescent="0.3">
      <c r="A730" s="111" t="s">
        <v>3180</v>
      </c>
      <c r="B730" s="109" t="s">
        <v>1953</v>
      </c>
      <c r="C730" s="123" t="s">
        <v>402</v>
      </c>
      <c r="D730" s="109">
        <v>4</v>
      </c>
      <c r="E730" s="109"/>
      <c r="F730" s="114"/>
      <c r="G730" s="109"/>
      <c r="H730" s="109"/>
      <c r="I730" s="109"/>
    </row>
    <row r="731" spans="1:9" ht="15.75" hidden="1" thickBot="1" x14ac:dyDescent="0.3">
      <c r="A731" s="111" t="s">
        <v>3181</v>
      </c>
      <c r="B731" s="112" t="s">
        <v>1953</v>
      </c>
      <c r="C731" s="123" t="s">
        <v>402</v>
      </c>
      <c r="D731" s="112">
        <v>4</v>
      </c>
      <c r="E731" s="112"/>
      <c r="F731" s="113"/>
      <c r="G731" s="112"/>
      <c r="H731" s="112"/>
      <c r="I731" s="113"/>
    </row>
    <row r="732" spans="1:9" ht="15.75" hidden="1" thickBot="1" x14ac:dyDescent="0.3">
      <c r="A732" s="109" t="s">
        <v>3182</v>
      </c>
      <c r="B732" s="109" t="s">
        <v>1953</v>
      </c>
      <c r="C732" s="123" t="s">
        <v>402</v>
      </c>
      <c r="D732" s="109">
        <v>4</v>
      </c>
      <c r="E732" s="109"/>
      <c r="F732" s="109"/>
      <c r="G732" s="109"/>
      <c r="H732" s="114"/>
      <c r="I732" s="109" t="s">
        <v>3183</v>
      </c>
    </row>
    <row r="733" spans="1:9" ht="15.75" hidden="1" thickBot="1" x14ac:dyDescent="0.3">
      <c r="A733" s="111" t="s">
        <v>3184</v>
      </c>
      <c r="B733" s="116" t="s">
        <v>1953</v>
      </c>
      <c r="C733" s="123" t="s">
        <v>402</v>
      </c>
      <c r="D733" s="116">
        <v>4</v>
      </c>
      <c r="E733" s="112"/>
      <c r="F733" s="113"/>
      <c r="G733" s="112"/>
      <c r="H733" s="113"/>
      <c r="I733" s="113"/>
    </row>
    <row r="734" spans="1:9" ht="15.75" hidden="1" thickBot="1" x14ac:dyDescent="0.3">
      <c r="A734" s="111" t="s">
        <v>3185</v>
      </c>
      <c r="B734" s="109" t="s">
        <v>1953</v>
      </c>
      <c r="C734" s="123" t="s">
        <v>402</v>
      </c>
      <c r="D734" s="109">
        <v>4</v>
      </c>
      <c r="E734" s="109"/>
      <c r="F734" s="109"/>
      <c r="G734" s="109"/>
      <c r="H734" s="114"/>
      <c r="I734" s="109"/>
    </row>
    <row r="735" spans="1:9" ht="15.75" hidden="1" thickBot="1" x14ac:dyDescent="0.3">
      <c r="A735" s="112" t="s">
        <v>3186</v>
      </c>
      <c r="B735" s="112" t="s">
        <v>1953</v>
      </c>
      <c r="C735" s="123" t="s">
        <v>402</v>
      </c>
      <c r="D735" s="112">
        <v>4</v>
      </c>
      <c r="E735" s="112"/>
      <c r="F735" s="113"/>
      <c r="G735" s="112"/>
      <c r="H735" s="113"/>
      <c r="I735" s="113" t="s">
        <v>3187</v>
      </c>
    </row>
    <row r="736" spans="1:9" ht="15.75" hidden="1" thickBot="1" x14ac:dyDescent="0.3">
      <c r="A736" s="111" t="s">
        <v>3188</v>
      </c>
      <c r="B736" s="109" t="s">
        <v>1953</v>
      </c>
      <c r="C736" s="123" t="s">
        <v>402</v>
      </c>
      <c r="D736" s="109">
        <v>4</v>
      </c>
      <c r="E736" s="109"/>
      <c r="F736" s="109"/>
      <c r="G736" s="109"/>
      <c r="H736" s="114"/>
      <c r="I736" s="109"/>
    </row>
    <row r="737" spans="1:9" ht="15.75" hidden="1" thickBot="1" x14ac:dyDescent="0.3">
      <c r="A737" s="111" t="s">
        <v>3189</v>
      </c>
      <c r="B737" s="112" t="s">
        <v>1953</v>
      </c>
      <c r="C737" s="123" t="s">
        <v>402</v>
      </c>
      <c r="D737" s="112">
        <v>4</v>
      </c>
      <c r="E737" s="112"/>
      <c r="F737" s="113"/>
      <c r="G737" s="112"/>
      <c r="H737" s="113"/>
      <c r="I737" s="113"/>
    </row>
    <row r="738" spans="1:9" ht="39" hidden="1" thickBot="1" x14ac:dyDescent="0.3">
      <c r="A738" s="109" t="s">
        <v>3190</v>
      </c>
      <c r="B738" s="109" t="s">
        <v>1953</v>
      </c>
      <c r="C738" s="123" t="s">
        <v>402</v>
      </c>
      <c r="D738" s="109">
        <v>4</v>
      </c>
      <c r="E738" s="109"/>
      <c r="F738" s="109"/>
      <c r="G738" s="109"/>
      <c r="H738" s="114"/>
      <c r="I738" s="109" t="s">
        <v>3191</v>
      </c>
    </row>
    <row r="739" spans="1:9" ht="15.75" hidden="1" thickBot="1" x14ac:dyDescent="0.3">
      <c r="A739" s="111" t="s">
        <v>3192</v>
      </c>
      <c r="B739" s="112" t="s">
        <v>1953</v>
      </c>
      <c r="C739" s="123" t="s">
        <v>402</v>
      </c>
      <c r="D739" s="112">
        <v>4</v>
      </c>
      <c r="E739" s="112"/>
      <c r="F739" s="113"/>
      <c r="G739" s="112"/>
      <c r="H739" s="113"/>
      <c r="I739" s="113"/>
    </row>
    <row r="740" spans="1:9" ht="15.75" hidden="1" thickBot="1" x14ac:dyDescent="0.3">
      <c r="A740" s="109" t="s">
        <v>3193</v>
      </c>
      <c r="B740" s="109" t="s">
        <v>1953</v>
      </c>
      <c r="C740" s="123" t="s">
        <v>402</v>
      </c>
      <c r="D740" s="109">
        <v>4</v>
      </c>
      <c r="E740" s="109"/>
      <c r="F740" s="109"/>
      <c r="G740" s="109"/>
      <c r="H740" s="114"/>
      <c r="I740" s="109" t="s">
        <v>3194</v>
      </c>
    </row>
    <row r="741" spans="1:9" ht="15.75" hidden="1" thickBot="1" x14ac:dyDescent="0.3">
      <c r="A741" s="111" t="s">
        <v>3195</v>
      </c>
      <c r="B741" s="112" t="s">
        <v>1953</v>
      </c>
      <c r="C741" s="123" t="s">
        <v>402</v>
      </c>
      <c r="D741" s="112">
        <v>4</v>
      </c>
      <c r="E741" s="112"/>
      <c r="F741" s="113"/>
      <c r="G741" s="112"/>
      <c r="H741" s="113"/>
      <c r="I741" s="113"/>
    </row>
    <row r="742" spans="1:9" ht="15.75" hidden="1" thickBot="1" x14ac:dyDescent="0.3">
      <c r="A742" s="111" t="s">
        <v>3196</v>
      </c>
      <c r="B742" s="119" t="s">
        <v>1953</v>
      </c>
      <c r="C742" s="123" t="s">
        <v>402</v>
      </c>
      <c r="D742" s="119">
        <v>4</v>
      </c>
      <c r="E742" s="109"/>
      <c r="F742" s="109"/>
      <c r="G742" s="109"/>
      <c r="H742" s="114"/>
      <c r="I742" s="109"/>
    </row>
    <row r="743" spans="1:9" ht="15.75" hidden="1" thickBot="1" x14ac:dyDescent="0.3">
      <c r="A743" s="111" t="s">
        <v>3197</v>
      </c>
      <c r="B743" s="112" t="s">
        <v>1953</v>
      </c>
      <c r="C743" s="123" t="s">
        <v>402</v>
      </c>
      <c r="D743" s="112">
        <v>4</v>
      </c>
      <c r="E743" s="112"/>
      <c r="F743" s="113"/>
      <c r="G743" s="112"/>
      <c r="H743" s="113"/>
      <c r="I743" s="113"/>
    </row>
    <row r="744" spans="1:9" ht="15.75" hidden="1" thickBot="1" x14ac:dyDescent="0.3">
      <c r="A744" s="109" t="s">
        <v>3198</v>
      </c>
      <c r="B744" s="109" t="s">
        <v>1953</v>
      </c>
      <c r="C744" s="123" t="s">
        <v>402</v>
      </c>
      <c r="D744" s="109">
        <v>4</v>
      </c>
      <c r="E744" s="109"/>
      <c r="F744" s="109"/>
      <c r="G744" s="109"/>
      <c r="H744" s="114"/>
      <c r="I744" s="109" t="s">
        <v>3199</v>
      </c>
    </row>
    <row r="745" spans="1:9" ht="15.75" hidden="1" thickBot="1" x14ac:dyDescent="0.3">
      <c r="A745" s="111" t="s">
        <v>3200</v>
      </c>
      <c r="B745" s="112" t="s">
        <v>1953</v>
      </c>
      <c r="C745" s="123" t="s">
        <v>402</v>
      </c>
      <c r="D745" s="112">
        <v>4</v>
      </c>
      <c r="E745" s="112"/>
      <c r="F745" s="113"/>
      <c r="G745" s="112"/>
      <c r="H745" s="113"/>
      <c r="I745" s="113"/>
    </row>
    <row r="746" spans="1:9" ht="15.75" hidden="1" thickBot="1" x14ac:dyDescent="0.3">
      <c r="A746" s="111" t="s">
        <v>3201</v>
      </c>
      <c r="B746" s="109" t="s">
        <v>1953</v>
      </c>
      <c r="C746" s="123" t="s">
        <v>402</v>
      </c>
      <c r="D746" s="109">
        <v>4</v>
      </c>
      <c r="E746" s="109"/>
      <c r="F746" s="109"/>
      <c r="G746" s="109"/>
      <c r="H746" s="114"/>
      <c r="I746" s="109"/>
    </row>
    <row r="747" spans="1:9" ht="15.75" hidden="1" thickBot="1" x14ac:dyDescent="0.3">
      <c r="A747" s="111" t="s">
        <v>3202</v>
      </c>
      <c r="B747" s="112" t="s">
        <v>1953</v>
      </c>
      <c r="C747" s="123" t="s">
        <v>402</v>
      </c>
      <c r="D747" s="112">
        <v>4</v>
      </c>
      <c r="E747" s="112"/>
      <c r="F747" s="113"/>
      <c r="G747" s="112"/>
      <c r="H747" s="113"/>
      <c r="I747" s="113"/>
    </row>
    <row r="748" spans="1:9" ht="15.75" hidden="1" thickBot="1" x14ac:dyDescent="0.3">
      <c r="A748" s="109" t="s">
        <v>3203</v>
      </c>
      <c r="B748" s="109" t="s">
        <v>1953</v>
      </c>
      <c r="C748" s="123" t="s">
        <v>402</v>
      </c>
      <c r="D748" s="109">
        <v>4</v>
      </c>
      <c r="E748" s="109"/>
      <c r="F748" s="109"/>
      <c r="G748" s="109"/>
      <c r="H748" s="114"/>
      <c r="I748" s="109" t="s">
        <v>3204</v>
      </c>
    </row>
    <row r="749" spans="1:9" ht="15.75" hidden="1" thickBot="1" x14ac:dyDescent="0.3">
      <c r="A749" s="111" t="s">
        <v>3205</v>
      </c>
      <c r="B749" s="112" t="s">
        <v>1953</v>
      </c>
      <c r="C749" s="123" t="s">
        <v>402</v>
      </c>
      <c r="D749" s="112">
        <v>4</v>
      </c>
      <c r="E749" s="112"/>
      <c r="F749" s="113"/>
      <c r="G749" s="112"/>
      <c r="H749" s="113"/>
      <c r="I749" s="113"/>
    </row>
    <row r="750" spans="1:9" ht="15.75" hidden="1" thickBot="1" x14ac:dyDescent="0.3">
      <c r="A750" s="111" t="s">
        <v>3206</v>
      </c>
      <c r="B750" s="109" t="s">
        <v>1953</v>
      </c>
      <c r="C750" s="123" t="s">
        <v>402</v>
      </c>
      <c r="D750" s="109">
        <v>4</v>
      </c>
      <c r="E750" s="109"/>
      <c r="F750" s="109"/>
      <c r="G750" s="109"/>
      <c r="H750" s="114"/>
      <c r="I750" s="109"/>
    </row>
    <row r="751" spans="1:9" ht="15.75" hidden="1" thickBot="1" x14ac:dyDescent="0.3">
      <c r="A751" s="111" t="s">
        <v>3207</v>
      </c>
      <c r="B751" s="112" t="s">
        <v>1953</v>
      </c>
      <c r="C751" s="123" t="s">
        <v>402</v>
      </c>
      <c r="D751" s="112">
        <v>4</v>
      </c>
      <c r="E751" s="112"/>
      <c r="F751" s="113"/>
      <c r="G751" s="112"/>
      <c r="H751" s="113"/>
      <c r="I751" s="113"/>
    </row>
    <row r="752" spans="1:9" ht="15.75" hidden="1" thickBot="1" x14ac:dyDescent="0.3">
      <c r="A752" s="109" t="s">
        <v>3208</v>
      </c>
      <c r="B752" s="109" t="s">
        <v>1953</v>
      </c>
      <c r="C752" s="123" t="s">
        <v>402</v>
      </c>
      <c r="D752" s="109">
        <v>4</v>
      </c>
      <c r="E752" s="109"/>
      <c r="F752" s="109"/>
      <c r="G752" s="109"/>
      <c r="H752" s="114"/>
      <c r="I752" s="109" t="s">
        <v>3209</v>
      </c>
    </row>
    <row r="753" spans="1:9" ht="15.75" hidden="1" thickBot="1" x14ac:dyDescent="0.3">
      <c r="A753" s="112" t="s">
        <v>3210</v>
      </c>
      <c r="B753" s="112" t="s">
        <v>1953</v>
      </c>
      <c r="C753" s="123" t="s">
        <v>402</v>
      </c>
      <c r="D753" s="112">
        <v>4</v>
      </c>
      <c r="E753" s="112"/>
      <c r="F753" s="113"/>
      <c r="G753" s="112"/>
      <c r="H753" s="113"/>
      <c r="I753" s="113" t="s">
        <v>3211</v>
      </c>
    </row>
    <row r="754" spans="1:9" ht="15.75" hidden="1" thickBot="1" x14ac:dyDescent="0.3">
      <c r="A754" s="111" t="s">
        <v>3212</v>
      </c>
      <c r="B754" s="109" t="s">
        <v>1953</v>
      </c>
      <c r="C754" s="123" t="s">
        <v>402</v>
      </c>
      <c r="D754" s="109">
        <v>4</v>
      </c>
      <c r="E754" s="109"/>
      <c r="F754" s="109"/>
      <c r="G754" s="109"/>
      <c r="H754" s="114"/>
      <c r="I754" s="109"/>
    </row>
    <row r="755" spans="1:9" ht="26.25" hidden="1" thickBot="1" x14ac:dyDescent="0.3">
      <c r="A755" s="112" t="s">
        <v>3213</v>
      </c>
      <c r="B755" s="112" t="s">
        <v>1953</v>
      </c>
      <c r="C755" s="123" t="s">
        <v>402</v>
      </c>
      <c r="D755" s="112">
        <v>4</v>
      </c>
      <c r="E755" s="112"/>
      <c r="F755" s="113"/>
      <c r="G755" s="112"/>
      <c r="H755" s="113"/>
      <c r="I755" s="113" t="s">
        <v>3214</v>
      </c>
    </row>
    <row r="756" spans="1:9" ht="15.75" hidden="1" thickBot="1" x14ac:dyDescent="0.3">
      <c r="A756" s="111" t="s">
        <v>3215</v>
      </c>
      <c r="B756" s="109" t="s">
        <v>1953</v>
      </c>
      <c r="C756" s="123" t="s">
        <v>402</v>
      </c>
      <c r="D756" s="109">
        <v>4</v>
      </c>
      <c r="E756" s="109"/>
      <c r="F756" s="109"/>
      <c r="G756" s="109"/>
      <c r="H756" s="114"/>
      <c r="I756" s="109"/>
    </row>
    <row r="757" spans="1:9" ht="15.75" hidden="1" thickBot="1" x14ac:dyDescent="0.3">
      <c r="A757" s="111" t="s">
        <v>3216</v>
      </c>
      <c r="B757" s="112" t="s">
        <v>1953</v>
      </c>
      <c r="C757" s="123" t="s">
        <v>402</v>
      </c>
      <c r="D757" s="112">
        <v>4</v>
      </c>
      <c r="E757" s="112"/>
      <c r="F757" s="113"/>
      <c r="G757" s="112"/>
      <c r="H757" s="113"/>
      <c r="I757" s="113"/>
    </row>
    <row r="758" spans="1:9" ht="15.75" hidden="1" thickBot="1" x14ac:dyDescent="0.3">
      <c r="A758" s="111" t="s">
        <v>3217</v>
      </c>
      <c r="B758" s="109" t="s">
        <v>1953</v>
      </c>
      <c r="C758" s="123" t="s">
        <v>402</v>
      </c>
      <c r="D758" s="109">
        <v>4</v>
      </c>
      <c r="E758" s="109"/>
      <c r="F758" s="109"/>
      <c r="G758" s="109"/>
      <c r="H758" s="114"/>
      <c r="I758" s="109"/>
    </row>
    <row r="759" spans="1:9" ht="15.75" hidden="1" thickBot="1" x14ac:dyDescent="0.3">
      <c r="A759" s="111" t="s">
        <v>3218</v>
      </c>
      <c r="B759" s="112" t="s">
        <v>1953</v>
      </c>
      <c r="C759" s="123" t="s">
        <v>402</v>
      </c>
      <c r="D759" s="112">
        <v>4</v>
      </c>
      <c r="E759" s="112"/>
      <c r="F759" s="113"/>
      <c r="G759" s="112"/>
      <c r="H759" s="113"/>
      <c r="I759" s="113"/>
    </row>
    <row r="760" spans="1:9" ht="15.75" hidden="1" thickBot="1" x14ac:dyDescent="0.3">
      <c r="A760" s="111" t="s">
        <v>3219</v>
      </c>
      <c r="B760" s="109" t="s">
        <v>1953</v>
      </c>
      <c r="C760" s="123" t="s">
        <v>402</v>
      </c>
      <c r="D760" s="109">
        <v>4</v>
      </c>
      <c r="E760" s="109"/>
      <c r="F760" s="109"/>
      <c r="G760" s="109"/>
      <c r="H760" s="114"/>
      <c r="I760" s="109"/>
    </row>
    <row r="761" spans="1:9" ht="15.75" hidden="1" thickBot="1" x14ac:dyDescent="0.3">
      <c r="A761" s="111" t="s">
        <v>3220</v>
      </c>
      <c r="B761" s="112" t="s">
        <v>1953</v>
      </c>
      <c r="C761" s="123" t="s">
        <v>402</v>
      </c>
      <c r="D761" s="112">
        <v>4</v>
      </c>
      <c r="E761" s="112"/>
      <c r="F761" s="113"/>
      <c r="G761" s="112"/>
      <c r="H761" s="113"/>
      <c r="I761" s="113"/>
    </row>
    <row r="762" spans="1:9" ht="15.75" hidden="1" thickBot="1" x14ac:dyDescent="0.3">
      <c r="A762" s="111" t="s">
        <v>3221</v>
      </c>
      <c r="B762" s="109" t="s">
        <v>1953</v>
      </c>
      <c r="C762" s="123" t="s">
        <v>402</v>
      </c>
      <c r="D762" s="109">
        <v>4</v>
      </c>
      <c r="E762" s="109"/>
      <c r="F762" s="109"/>
      <c r="G762" s="109"/>
      <c r="H762" s="114"/>
      <c r="I762" s="109"/>
    </row>
    <row r="763" spans="1:9" ht="15.75" hidden="1" thickBot="1" x14ac:dyDescent="0.3">
      <c r="A763" s="111" t="s">
        <v>3222</v>
      </c>
      <c r="B763" s="112" t="s">
        <v>1953</v>
      </c>
      <c r="C763" s="123" t="s">
        <v>402</v>
      </c>
      <c r="D763" s="112">
        <v>4</v>
      </c>
      <c r="E763" s="112"/>
      <c r="F763" s="113"/>
      <c r="G763" s="112"/>
      <c r="H763" s="113"/>
      <c r="I763" s="113"/>
    </row>
    <row r="764" spans="1:9" ht="15.75" hidden="1" thickBot="1" x14ac:dyDescent="0.3">
      <c r="A764" s="111" t="s">
        <v>3223</v>
      </c>
      <c r="B764" s="109" t="s">
        <v>1953</v>
      </c>
      <c r="C764" s="123" t="s">
        <v>402</v>
      </c>
      <c r="D764" s="109">
        <v>4</v>
      </c>
      <c r="E764" s="109"/>
      <c r="F764" s="109"/>
      <c r="G764" s="109"/>
      <c r="H764" s="114"/>
      <c r="I764" s="109"/>
    </row>
    <row r="765" spans="1:9" ht="15.75" hidden="1" thickBot="1" x14ac:dyDescent="0.3">
      <c r="A765" s="111" t="s">
        <v>3224</v>
      </c>
      <c r="B765" s="112" t="s">
        <v>1953</v>
      </c>
      <c r="C765" s="123" t="s">
        <v>402</v>
      </c>
      <c r="D765" s="112">
        <v>4</v>
      </c>
      <c r="E765" s="112"/>
      <c r="F765" s="113"/>
      <c r="G765" s="112"/>
      <c r="H765" s="113"/>
      <c r="I765" s="113"/>
    </row>
    <row r="766" spans="1:9" ht="15.75" hidden="1" thickBot="1" x14ac:dyDescent="0.3">
      <c r="A766" s="111" t="s">
        <v>3225</v>
      </c>
      <c r="B766" s="109" t="s">
        <v>1953</v>
      </c>
      <c r="C766" s="123" t="s">
        <v>402</v>
      </c>
      <c r="D766" s="109">
        <v>4</v>
      </c>
      <c r="E766" s="109"/>
      <c r="F766" s="109"/>
      <c r="G766" s="109"/>
      <c r="H766" s="114"/>
      <c r="I766" s="109"/>
    </row>
    <row r="767" spans="1:9" ht="15.75" hidden="1" thickBot="1" x14ac:dyDescent="0.3">
      <c r="A767" s="112" t="s">
        <v>464</v>
      </c>
      <c r="B767" s="112" t="s">
        <v>1895</v>
      </c>
      <c r="C767" s="123" t="s">
        <v>402</v>
      </c>
      <c r="D767" s="112">
        <v>4</v>
      </c>
      <c r="E767" s="112"/>
      <c r="F767" s="113"/>
      <c r="G767" s="112" t="s">
        <v>1946</v>
      </c>
      <c r="H767" s="112" t="s">
        <v>58</v>
      </c>
      <c r="I767" s="113" t="s">
        <v>3226</v>
      </c>
    </row>
    <row r="768" spans="1:9" ht="26.25" hidden="1" thickBot="1" x14ac:dyDescent="0.3">
      <c r="A768" s="109" t="s">
        <v>3227</v>
      </c>
      <c r="B768" s="109" t="s">
        <v>1895</v>
      </c>
      <c r="C768" s="123" t="s">
        <v>402</v>
      </c>
      <c r="D768" s="109">
        <v>4</v>
      </c>
      <c r="E768" s="109" t="s">
        <v>1915</v>
      </c>
      <c r="F768" s="109"/>
      <c r="G768" s="109" t="s">
        <v>1950</v>
      </c>
      <c r="H768" s="109"/>
      <c r="I768" s="109" t="s">
        <v>3228</v>
      </c>
    </row>
    <row r="769" spans="1:9" ht="26.25" hidden="1" thickBot="1" x14ac:dyDescent="0.3">
      <c r="A769" s="112" t="s">
        <v>539</v>
      </c>
      <c r="B769" s="112" t="s">
        <v>1895</v>
      </c>
      <c r="C769" s="123" t="s">
        <v>402</v>
      </c>
      <c r="D769" s="112">
        <v>4</v>
      </c>
      <c r="E769" s="112" t="s">
        <v>1915</v>
      </c>
      <c r="F769" s="113"/>
      <c r="G769" s="112" t="s">
        <v>2752</v>
      </c>
      <c r="H769" s="112" t="s">
        <v>58</v>
      </c>
      <c r="I769" s="113" t="s">
        <v>3229</v>
      </c>
    </row>
    <row r="770" spans="1:9" ht="15.75" hidden="1" thickBot="1" x14ac:dyDescent="0.3">
      <c r="A770" s="109" t="s">
        <v>3230</v>
      </c>
      <c r="B770" s="109" t="s">
        <v>1895</v>
      </c>
      <c r="C770" s="123" t="s">
        <v>402</v>
      </c>
      <c r="D770" s="109">
        <v>4</v>
      </c>
      <c r="E770" s="109" t="s">
        <v>1915</v>
      </c>
      <c r="F770" s="114"/>
      <c r="G770" s="109" t="s">
        <v>2847</v>
      </c>
      <c r="H770" s="109" t="s">
        <v>58</v>
      </c>
      <c r="I770" s="109" t="s">
        <v>2848</v>
      </c>
    </row>
    <row r="771" spans="1:9" ht="26.25" hidden="1" thickBot="1" x14ac:dyDescent="0.3">
      <c r="A771" s="112" t="s">
        <v>481</v>
      </c>
      <c r="B771" s="112" t="s">
        <v>1895</v>
      </c>
      <c r="C771" s="123" t="s">
        <v>402</v>
      </c>
      <c r="D771" s="112">
        <v>4</v>
      </c>
      <c r="E771" s="112" t="s">
        <v>1915</v>
      </c>
      <c r="F771" s="113"/>
      <c r="G771" s="112" t="s">
        <v>2145</v>
      </c>
      <c r="H771" s="112" t="s">
        <v>3231</v>
      </c>
      <c r="I771" s="113" t="s">
        <v>3232</v>
      </c>
    </row>
    <row r="772" spans="1:9" ht="15.75" hidden="1" thickBot="1" x14ac:dyDescent="0.3">
      <c r="A772" s="109" t="s">
        <v>3233</v>
      </c>
      <c r="B772" s="109" t="s">
        <v>1953</v>
      </c>
      <c r="C772" s="123" t="s">
        <v>402</v>
      </c>
      <c r="D772" s="109">
        <v>4</v>
      </c>
      <c r="E772" s="109" t="s">
        <v>1915</v>
      </c>
      <c r="F772" s="114"/>
      <c r="G772" s="109" t="s">
        <v>3234</v>
      </c>
      <c r="H772" s="109" t="s">
        <v>58</v>
      </c>
      <c r="I772" s="109" t="s">
        <v>3235</v>
      </c>
    </row>
    <row r="773" spans="1:9" ht="39" hidden="1" thickBot="1" x14ac:dyDescent="0.3">
      <c r="A773" s="112" t="s">
        <v>486</v>
      </c>
      <c r="B773" s="112" t="s">
        <v>1890</v>
      </c>
      <c r="C773" s="123" t="s">
        <v>402</v>
      </c>
      <c r="D773" s="112">
        <v>4</v>
      </c>
      <c r="E773" s="112" t="s">
        <v>1915</v>
      </c>
      <c r="F773" s="113" t="s">
        <v>1982</v>
      </c>
      <c r="G773" s="112" t="s">
        <v>3236</v>
      </c>
      <c r="H773" s="112" t="s">
        <v>3237</v>
      </c>
      <c r="I773" s="113" t="s">
        <v>3238</v>
      </c>
    </row>
    <row r="774" spans="1:9" ht="15.75" hidden="1" thickBot="1" x14ac:dyDescent="0.3">
      <c r="A774" s="111" t="s">
        <v>3239</v>
      </c>
      <c r="B774" s="109" t="s">
        <v>1953</v>
      </c>
      <c r="C774" s="123" t="s">
        <v>402</v>
      </c>
      <c r="D774" s="109">
        <v>4</v>
      </c>
      <c r="E774" s="109"/>
      <c r="F774" s="109" t="s">
        <v>2019</v>
      </c>
      <c r="G774" s="109" t="s">
        <v>2683</v>
      </c>
      <c r="H774" s="109" t="s">
        <v>3240</v>
      </c>
      <c r="I774" s="109"/>
    </row>
    <row r="775" spans="1:9" ht="51.75" hidden="1" thickBot="1" x14ac:dyDescent="0.3">
      <c r="A775" s="112" t="s">
        <v>447</v>
      </c>
      <c r="B775" s="112" t="s">
        <v>1895</v>
      </c>
      <c r="C775" s="123" t="s">
        <v>402</v>
      </c>
      <c r="D775" s="112">
        <v>4</v>
      </c>
      <c r="E775" s="112"/>
      <c r="F775" s="113"/>
      <c r="G775" s="112" t="s">
        <v>2150</v>
      </c>
      <c r="H775" s="112" t="s">
        <v>3241</v>
      </c>
      <c r="I775" s="113" t="s">
        <v>3242</v>
      </c>
    </row>
    <row r="776" spans="1:9" ht="15.75" hidden="1" thickBot="1" x14ac:dyDescent="0.3">
      <c r="A776" s="111" t="s">
        <v>3243</v>
      </c>
      <c r="B776" s="109" t="s">
        <v>1895</v>
      </c>
      <c r="C776" s="123" t="s">
        <v>402</v>
      </c>
      <c r="D776" s="109">
        <v>4</v>
      </c>
      <c r="E776" s="109" t="s">
        <v>1915</v>
      </c>
      <c r="F776" s="114"/>
      <c r="G776" s="109" t="s">
        <v>1950</v>
      </c>
      <c r="H776" s="109"/>
      <c r="I776" s="109"/>
    </row>
    <row r="777" spans="1:9" ht="15.75" hidden="1" thickBot="1" x14ac:dyDescent="0.3">
      <c r="A777" s="112" t="s">
        <v>500</v>
      </c>
      <c r="B777" s="112" t="s">
        <v>1895</v>
      </c>
      <c r="C777" s="123" t="s">
        <v>402</v>
      </c>
      <c r="D777" s="112">
        <v>4</v>
      </c>
      <c r="E777" s="112" t="s">
        <v>1915</v>
      </c>
      <c r="F777" s="113"/>
      <c r="G777" s="112" t="s">
        <v>2264</v>
      </c>
      <c r="H777" s="112" t="s">
        <v>58</v>
      </c>
      <c r="I777" s="113" t="s">
        <v>3244</v>
      </c>
    </row>
    <row r="778" spans="1:9" ht="26.25" hidden="1" thickBot="1" x14ac:dyDescent="0.3">
      <c r="A778" s="109" t="s">
        <v>415</v>
      </c>
      <c r="B778" s="109" t="s">
        <v>1895</v>
      </c>
      <c r="C778" s="123" t="s">
        <v>402</v>
      </c>
      <c r="D778" s="109">
        <v>4</v>
      </c>
      <c r="E778" s="109" t="s">
        <v>1915</v>
      </c>
      <c r="F778" s="114"/>
      <c r="G778" s="109" t="s">
        <v>2176</v>
      </c>
      <c r="H778" s="109" t="s">
        <v>3245</v>
      </c>
      <c r="I778" s="109" t="s">
        <v>3246</v>
      </c>
    </row>
    <row r="779" spans="1:9" ht="15.75" hidden="1" thickBot="1" x14ac:dyDescent="0.3">
      <c r="A779" s="111" t="s">
        <v>3247</v>
      </c>
      <c r="B779" s="112" t="s">
        <v>1895</v>
      </c>
      <c r="C779" s="123" t="s">
        <v>402</v>
      </c>
      <c r="D779" s="112">
        <v>4</v>
      </c>
      <c r="E779" s="112" t="s">
        <v>1915</v>
      </c>
      <c r="F779" s="113"/>
      <c r="G779" s="112" t="s">
        <v>2176</v>
      </c>
      <c r="H779" s="112" t="s">
        <v>3248</v>
      </c>
      <c r="I779" s="113"/>
    </row>
    <row r="780" spans="1:9" ht="15.75" hidden="1" thickBot="1" x14ac:dyDescent="0.3">
      <c r="A780" s="109" t="s">
        <v>421</v>
      </c>
      <c r="B780" s="109" t="s">
        <v>1895</v>
      </c>
      <c r="C780" s="123" t="s">
        <v>402</v>
      </c>
      <c r="D780" s="109">
        <v>4</v>
      </c>
      <c r="E780" s="109" t="s">
        <v>1915</v>
      </c>
      <c r="F780" s="114"/>
      <c r="G780" s="109" t="s">
        <v>2176</v>
      </c>
      <c r="H780" s="109" t="s">
        <v>3248</v>
      </c>
      <c r="I780" s="109" t="s">
        <v>3249</v>
      </c>
    </row>
    <row r="781" spans="1:9" ht="15.75" hidden="1" thickBot="1" x14ac:dyDescent="0.3">
      <c r="A781" s="112" t="s">
        <v>3250</v>
      </c>
      <c r="B781" s="112" t="s">
        <v>1953</v>
      </c>
      <c r="C781" s="123" t="s">
        <v>402</v>
      </c>
      <c r="D781" s="112">
        <v>4</v>
      </c>
      <c r="E781" s="112" t="s">
        <v>1915</v>
      </c>
      <c r="F781" s="113" t="s">
        <v>1954</v>
      </c>
      <c r="G781" s="112" t="s">
        <v>2837</v>
      </c>
      <c r="H781" s="112" t="s">
        <v>2839</v>
      </c>
      <c r="I781" s="113" t="s">
        <v>2837</v>
      </c>
    </row>
    <row r="782" spans="1:9" ht="15.75" hidden="1" thickBot="1" x14ac:dyDescent="0.3">
      <c r="A782" s="109" t="s">
        <v>508</v>
      </c>
      <c r="B782" s="109" t="s">
        <v>1895</v>
      </c>
      <c r="C782" s="123" t="s">
        <v>402</v>
      </c>
      <c r="D782" s="109">
        <v>4</v>
      </c>
      <c r="E782" s="109" t="s">
        <v>1915</v>
      </c>
      <c r="F782" s="114"/>
      <c r="G782" s="109" t="s">
        <v>3251</v>
      </c>
      <c r="H782" s="109"/>
      <c r="I782" s="109" t="s">
        <v>3252</v>
      </c>
    </row>
    <row r="783" spans="1:9" ht="15.75" hidden="1" thickBot="1" x14ac:dyDescent="0.3">
      <c r="A783" s="112" t="s">
        <v>3253</v>
      </c>
      <c r="B783" s="112" t="s">
        <v>1895</v>
      </c>
      <c r="C783" s="123" t="s">
        <v>402</v>
      </c>
      <c r="D783" s="112">
        <v>4</v>
      </c>
      <c r="E783" s="112" t="s">
        <v>1915</v>
      </c>
      <c r="F783" s="113"/>
      <c r="G783" s="112" t="s">
        <v>2162</v>
      </c>
      <c r="H783" s="112" t="s">
        <v>58</v>
      </c>
      <c r="I783" s="113" t="s">
        <v>2163</v>
      </c>
    </row>
    <row r="784" spans="1:9" ht="26.25" hidden="1" thickBot="1" x14ac:dyDescent="0.3">
      <c r="A784" s="109" t="s">
        <v>3254</v>
      </c>
      <c r="B784" s="109" t="s">
        <v>1895</v>
      </c>
      <c r="C784" s="123" t="s">
        <v>402</v>
      </c>
      <c r="D784" s="109">
        <v>4</v>
      </c>
      <c r="E784" s="109" t="s">
        <v>1915</v>
      </c>
      <c r="F784" s="114"/>
      <c r="G784" s="109" t="s">
        <v>2190</v>
      </c>
      <c r="H784" s="109" t="s">
        <v>3255</v>
      </c>
      <c r="I784" s="109" t="s">
        <v>3256</v>
      </c>
    </row>
    <row r="785" spans="1:9" ht="77.25" hidden="1" thickBot="1" x14ac:dyDescent="0.3">
      <c r="A785" s="112" t="s">
        <v>1751</v>
      </c>
      <c r="B785" s="112" t="s">
        <v>1895</v>
      </c>
      <c r="C785" s="123" t="s">
        <v>402</v>
      </c>
      <c r="D785" s="112">
        <v>4</v>
      </c>
      <c r="E785" s="112"/>
      <c r="F785" s="113"/>
      <c r="G785" s="112" t="s">
        <v>2190</v>
      </c>
      <c r="H785" s="112" t="s">
        <v>3257</v>
      </c>
      <c r="I785" s="113" t="s">
        <v>3258</v>
      </c>
    </row>
    <row r="786" spans="1:9" ht="15.75" hidden="1" thickBot="1" x14ac:dyDescent="0.3">
      <c r="A786" s="111" t="s">
        <v>457</v>
      </c>
      <c r="B786" s="109" t="s">
        <v>1895</v>
      </c>
      <c r="C786" s="123" t="s">
        <v>402</v>
      </c>
      <c r="D786" s="109">
        <v>4</v>
      </c>
      <c r="E786" s="109" t="s">
        <v>1915</v>
      </c>
      <c r="F786" s="109" t="s">
        <v>2700</v>
      </c>
      <c r="G786" s="109" t="s">
        <v>1950</v>
      </c>
      <c r="H786" s="109"/>
      <c r="I786" s="109"/>
    </row>
    <row r="787" spans="1:9" ht="39" hidden="1" thickBot="1" x14ac:dyDescent="0.3">
      <c r="A787" s="112" t="s">
        <v>419</v>
      </c>
      <c r="B787" s="112" t="s">
        <v>1895</v>
      </c>
      <c r="C787" s="123" t="s">
        <v>402</v>
      </c>
      <c r="D787" s="112">
        <v>4</v>
      </c>
      <c r="E787" s="112" t="s">
        <v>1915</v>
      </c>
      <c r="F787" s="113"/>
      <c r="G787" s="112" t="s">
        <v>2193</v>
      </c>
      <c r="H787" s="112" t="s">
        <v>3259</v>
      </c>
      <c r="I787" s="113" t="s">
        <v>3260</v>
      </c>
    </row>
    <row r="788" spans="1:9" ht="39" hidden="1" thickBot="1" x14ac:dyDescent="0.3">
      <c r="A788" s="109" t="s">
        <v>3261</v>
      </c>
      <c r="B788" s="109" t="s">
        <v>1895</v>
      </c>
      <c r="C788" s="123" t="s">
        <v>402</v>
      </c>
      <c r="D788" s="109">
        <v>4</v>
      </c>
      <c r="E788" s="109" t="s">
        <v>1915</v>
      </c>
      <c r="F788" s="114"/>
      <c r="G788" s="109" t="s">
        <v>2201</v>
      </c>
      <c r="H788" s="109" t="s">
        <v>3262</v>
      </c>
      <c r="I788" s="109" t="s">
        <v>3263</v>
      </c>
    </row>
    <row r="789" spans="1:9" ht="15.75" hidden="1" thickBot="1" x14ac:dyDescent="0.3">
      <c r="A789" s="112" t="s">
        <v>512</v>
      </c>
      <c r="B789" s="112" t="s">
        <v>1895</v>
      </c>
      <c r="C789" s="123" t="s">
        <v>402</v>
      </c>
      <c r="D789" s="112">
        <v>4</v>
      </c>
      <c r="E789" s="112" t="s">
        <v>1915</v>
      </c>
      <c r="F789" s="113" t="s">
        <v>2035</v>
      </c>
      <c r="G789" s="112" t="s">
        <v>1950</v>
      </c>
      <c r="H789" s="112"/>
      <c r="I789" s="113" t="s">
        <v>3264</v>
      </c>
    </row>
    <row r="790" spans="1:9" ht="26.25" hidden="1" thickBot="1" x14ac:dyDescent="0.3">
      <c r="A790" s="109" t="s">
        <v>3265</v>
      </c>
      <c r="B790" s="109" t="s">
        <v>1953</v>
      </c>
      <c r="C790" s="123" t="s">
        <v>402</v>
      </c>
      <c r="D790" s="109">
        <v>4</v>
      </c>
      <c r="E790" s="109" t="s">
        <v>1915</v>
      </c>
      <c r="F790" s="109" t="s">
        <v>1954</v>
      </c>
      <c r="G790" s="109" t="s">
        <v>2212</v>
      </c>
      <c r="H790" s="109" t="s">
        <v>3266</v>
      </c>
      <c r="I790" s="109" t="s">
        <v>3267</v>
      </c>
    </row>
    <row r="791" spans="1:9" ht="15.75" hidden="1" thickBot="1" x14ac:dyDescent="0.3">
      <c r="A791" s="111" t="s">
        <v>3268</v>
      </c>
      <c r="B791" s="112" t="s">
        <v>1953</v>
      </c>
      <c r="C791" s="123" t="s">
        <v>402</v>
      </c>
      <c r="D791" s="112">
        <v>4</v>
      </c>
      <c r="E791" s="112" t="s">
        <v>1915</v>
      </c>
      <c r="F791" s="113"/>
      <c r="G791" s="112"/>
      <c r="H791" s="112"/>
      <c r="I791" s="113"/>
    </row>
    <row r="792" spans="1:9" ht="26.25" hidden="1" thickBot="1" x14ac:dyDescent="0.3">
      <c r="A792" s="109" t="s">
        <v>3269</v>
      </c>
      <c r="B792" s="109" t="s">
        <v>1953</v>
      </c>
      <c r="C792" s="123" t="s">
        <v>402</v>
      </c>
      <c r="D792" s="109">
        <v>4</v>
      </c>
      <c r="E792" s="109" t="s">
        <v>1915</v>
      </c>
      <c r="F792" s="109"/>
      <c r="G792" s="109"/>
      <c r="H792" s="109"/>
      <c r="I792" s="109" t="s">
        <v>3270</v>
      </c>
    </row>
    <row r="793" spans="1:9" ht="26.25" hidden="1" thickBot="1" x14ac:dyDescent="0.3">
      <c r="A793" s="112" t="s">
        <v>3271</v>
      </c>
      <c r="B793" s="112" t="s">
        <v>1953</v>
      </c>
      <c r="C793" s="123" t="s">
        <v>402</v>
      </c>
      <c r="D793" s="112">
        <v>4</v>
      </c>
      <c r="E793" s="112" t="s">
        <v>1915</v>
      </c>
      <c r="F793" s="113"/>
      <c r="G793" s="112"/>
      <c r="H793" s="112"/>
      <c r="I793" s="113" t="s">
        <v>3267</v>
      </c>
    </row>
    <row r="794" spans="1:9" ht="15.75" hidden="1" thickBot="1" x14ac:dyDescent="0.3">
      <c r="A794" s="111" t="s">
        <v>3272</v>
      </c>
      <c r="B794" s="109" t="s">
        <v>1953</v>
      </c>
      <c r="C794" s="123" t="s">
        <v>402</v>
      </c>
      <c r="D794" s="109">
        <v>4</v>
      </c>
      <c r="E794" s="109" t="s">
        <v>1915</v>
      </c>
      <c r="F794" s="109"/>
      <c r="G794" s="109"/>
      <c r="H794" s="109"/>
      <c r="I794" s="109"/>
    </row>
    <row r="795" spans="1:9" ht="15.75" hidden="1" thickBot="1" x14ac:dyDescent="0.3">
      <c r="A795" s="111" t="s">
        <v>3273</v>
      </c>
      <c r="B795" s="112" t="s">
        <v>1953</v>
      </c>
      <c r="C795" s="123" t="s">
        <v>402</v>
      </c>
      <c r="D795" s="112">
        <v>4</v>
      </c>
      <c r="E795" s="112" t="s">
        <v>1915</v>
      </c>
      <c r="F795" s="113"/>
      <c r="G795" s="112"/>
      <c r="H795" s="112"/>
      <c r="I795" s="113"/>
    </row>
    <row r="796" spans="1:9" ht="15.75" hidden="1" thickBot="1" x14ac:dyDescent="0.3">
      <c r="A796" s="109" t="s">
        <v>3274</v>
      </c>
      <c r="B796" s="109" t="s">
        <v>1890</v>
      </c>
      <c r="C796" s="123" t="s">
        <v>402</v>
      </c>
      <c r="D796" s="109">
        <v>4</v>
      </c>
      <c r="E796" s="109" t="s">
        <v>1915</v>
      </c>
      <c r="F796" s="109" t="s">
        <v>2682</v>
      </c>
      <c r="G796" s="109" t="s">
        <v>2770</v>
      </c>
      <c r="H796" s="109" t="s">
        <v>3275</v>
      </c>
      <c r="I796" s="109" t="s">
        <v>3276</v>
      </c>
    </row>
    <row r="797" spans="1:9" ht="26.25" hidden="1" thickBot="1" x14ac:dyDescent="0.3">
      <c r="A797" s="112" t="s">
        <v>3277</v>
      </c>
      <c r="B797" s="112" t="s">
        <v>1895</v>
      </c>
      <c r="C797" s="123" t="s">
        <v>402</v>
      </c>
      <c r="D797" s="112">
        <v>4</v>
      </c>
      <c r="E797" s="112"/>
      <c r="F797" s="113"/>
      <c r="G797" s="112" t="s">
        <v>2746</v>
      </c>
      <c r="H797" s="112"/>
      <c r="I797" s="113" t="s">
        <v>3278</v>
      </c>
    </row>
    <row r="798" spans="1:9" ht="15.75" hidden="1" thickBot="1" x14ac:dyDescent="0.3">
      <c r="A798" s="111" t="s">
        <v>3279</v>
      </c>
      <c r="B798" s="109" t="s">
        <v>1890</v>
      </c>
      <c r="C798" s="123" t="s">
        <v>402</v>
      </c>
      <c r="D798" s="109">
        <v>4</v>
      </c>
      <c r="E798" s="109" t="s">
        <v>1915</v>
      </c>
      <c r="F798" s="109" t="s">
        <v>2446</v>
      </c>
      <c r="G798" s="109"/>
      <c r="H798" s="109"/>
      <c r="I798" s="109"/>
    </row>
    <row r="799" spans="1:9" ht="15.75" hidden="1" thickBot="1" x14ac:dyDescent="0.3">
      <c r="A799" s="111" t="s">
        <v>3280</v>
      </c>
      <c r="B799" s="112" t="s">
        <v>1890</v>
      </c>
      <c r="C799" s="123" t="s">
        <v>402</v>
      </c>
      <c r="D799" s="112">
        <v>4</v>
      </c>
      <c r="E799" s="112" t="s">
        <v>1915</v>
      </c>
      <c r="F799" s="113" t="s">
        <v>2446</v>
      </c>
      <c r="G799" s="112"/>
      <c r="H799" s="112"/>
      <c r="I799" s="113"/>
    </row>
    <row r="800" spans="1:9" ht="15.75" hidden="1" thickBot="1" x14ac:dyDescent="0.3">
      <c r="A800" s="111" t="s">
        <v>3281</v>
      </c>
      <c r="B800" s="109" t="s">
        <v>1890</v>
      </c>
      <c r="C800" s="123" t="s">
        <v>402</v>
      </c>
      <c r="D800" s="109">
        <v>4</v>
      </c>
      <c r="E800" s="109" t="s">
        <v>1915</v>
      </c>
      <c r="F800" s="109" t="s">
        <v>2446</v>
      </c>
      <c r="G800" s="109"/>
      <c r="H800" s="109"/>
      <c r="I800" s="109"/>
    </row>
    <row r="801" spans="1:9" ht="15.75" hidden="1" thickBot="1" x14ac:dyDescent="0.3">
      <c r="A801" s="111" t="s">
        <v>3282</v>
      </c>
      <c r="B801" s="112" t="s">
        <v>1890</v>
      </c>
      <c r="C801" s="123" t="s">
        <v>402</v>
      </c>
      <c r="D801" s="112">
        <v>4</v>
      </c>
      <c r="E801" s="112" t="s">
        <v>1915</v>
      </c>
      <c r="F801" s="113" t="s">
        <v>2446</v>
      </c>
      <c r="G801" s="112"/>
      <c r="H801" s="112"/>
      <c r="I801" s="113"/>
    </row>
    <row r="802" spans="1:9" ht="15.75" hidden="1" thickBot="1" x14ac:dyDescent="0.3">
      <c r="A802" s="111" t="s">
        <v>3283</v>
      </c>
      <c r="B802" s="109" t="s">
        <v>1890</v>
      </c>
      <c r="C802" s="123" t="s">
        <v>402</v>
      </c>
      <c r="D802" s="109">
        <v>4</v>
      </c>
      <c r="E802" s="109" t="s">
        <v>1915</v>
      </c>
      <c r="F802" s="109" t="s">
        <v>2446</v>
      </c>
      <c r="G802" s="109"/>
      <c r="H802" s="109"/>
      <c r="I802" s="109"/>
    </row>
    <row r="803" spans="1:9" ht="15.75" hidden="1" thickBot="1" x14ac:dyDescent="0.3">
      <c r="A803" s="111" t="s">
        <v>3284</v>
      </c>
      <c r="B803" s="112" t="s">
        <v>1890</v>
      </c>
      <c r="C803" s="123" t="s">
        <v>402</v>
      </c>
      <c r="D803" s="112">
        <v>4</v>
      </c>
      <c r="E803" s="112" t="s">
        <v>1915</v>
      </c>
      <c r="F803" s="113" t="s">
        <v>2446</v>
      </c>
      <c r="G803" s="112"/>
      <c r="H803" s="112"/>
      <c r="I803" s="113"/>
    </row>
    <row r="804" spans="1:9" ht="15.75" hidden="1" thickBot="1" x14ac:dyDescent="0.3">
      <c r="A804" s="111" t="s">
        <v>3285</v>
      </c>
      <c r="B804" s="109" t="s">
        <v>1890</v>
      </c>
      <c r="C804" s="123" t="s">
        <v>402</v>
      </c>
      <c r="D804" s="109">
        <v>4</v>
      </c>
      <c r="E804" s="109" t="s">
        <v>1915</v>
      </c>
      <c r="F804" s="109" t="s">
        <v>2446</v>
      </c>
      <c r="G804" s="109"/>
      <c r="H804" s="109"/>
      <c r="I804" s="109"/>
    </row>
    <row r="805" spans="1:9" ht="26.25" hidden="1" thickBot="1" x14ac:dyDescent="0.3">
      <c r="A805" s="112" t="s">
        <v>3286</v>
      </c>
      <c r="B805" s="112" t="s">
        <v>1890</v>
      </c>
      <c r="C805" s="123" t="s">
        <v>402</v>
      </c>
      <c r="D805" s="112">
        <v>4</v>
      </c>
      <c r="E805" s="112" t="s">
        <v>1915</v>
      </c>
      <c r="F805" s="113" t="s">
        <v>2446</v>
      </c>
      <c r="G805" s="112"/>
      <c r="H805" s="112"/>
      <c r="I805" s="113" t="s">
        <v>3287</v>
      </c>
    </row>
    <row r="806" spans="1:9" ht="15.75" hidden="1" thickBot="1" x14ac:dyDescent="0.3">
      <c r="A806" s="109" t="s">
        <v>3288</v>
      </c>
      <c r="B806" s="109" t="s">
        <v>1890</v>
      </c>
      <c r="C806" s="123" t="s">
        <v>402</v>
      </c>
      <c r="D806" s="109">
        <v>4</v>
      </c>
      <c r="E806" s="109" t="s">
        <v>1915</v>
      </c>
      <c r="F806" s="109" t="s">
        <v>2446</v>
      </c>
      <c r="G806" s="109"/>
      <c r="H806" s="109"/>
      <c r="I806" s="109" t="s">
        <v>3289</v>
      </c>
    </row>
    <row r="807" spans="1:9" ht="15.75" hidden="1" thickBot="1" x14ac:dyDescent="0.3">
      <c r="A807" s="112" t="s">
        <v>3290</v>
      </c>
      <c r="B807" s="112" t="s">
        <v>1890</v>
      </c>
      <c r="C807" s="123" t="s">
        <v>402</v>
      </c>
      <c r="D807" s="112">
        <v>4</v>
      </c>
      <c r="E807" s="112" t="s">
        <v>1915</v>
      </c>
      <c r="F807" s="113" t="s">
        <v>2446</v>
      </c>
      <c r="G807" s="112"/>
      <c r="H807" s="112"/>
      <c r="I807" s="113" t="s">
        <v>3291</v>
      </c>
    </row>
    <row r="808" spans="1:9" ht="51.75" hidden="1" thickBot="1" x14ac:dyDescent="0.3">
      <c r="A808" s="109" t="s">
        <v>483</v>
      </c>
      <c r="B808" s="109" t="s">
        <v>1890</v>
      </c>
      <c r="C808" s="123" t="s">
        <v>402</v>
      </c>
      <c r="D808" s="109">
        <v>4</v>
      </c>
      <c r="E808" s="109"/>
      <c r="F808" s="109" t="s">
        <v>2682</v>
      </c>
      <c r="G808" s="109" t="s">
        <v>3292</v>
      </c>
      <c r="H808" s="109" t="s">
        <v>3293</v>
      </c>
      <c r="I808" s="109" t="s">
        <v>3294</v>
      </c>
    </row>
    <row r="809" spans="1:9" ht="51.75" hidden="1" thickBot="1" x14ac:dyDescent="0.3">
      <c r="A809" s="112" t="s">
        <v>517</v>
      </c>
      <c r="B809" s="112" t="s">
        <v>1953</v>
      </c>
      <c r="C809" s="123" t="s">
        <v>402</v>
      </c>
      <c r="D809" s="112">
        <v>4</v>
      </c>
      <c r="E809" s="112" t="s">
        <v>1915</v>
      </c>
      <c r="F809" s="113" t="s">
        <v>3295</v>
      </c>
      <c r="G809" s="112" t="s">
        <v>3292</v>
      </c>
      <c r="H809" s="112" t="s">
        <v>3296</v>
      </c>
      <c r="I809" s="113" t="s">
        <v>3297</v>
      </c>
    </row>
    <row r="810" spans="1:9" ht="26.25" hidden="1" thickBot="1" x14ac:dyDescent="0.3">
      <c r="A810" s="109" t="s">
        <v>583</v>
      </c>
      <c r="B810" s="109" t="s">
        <v>1895</v>
      </c>
      <c r="C810" s="123" t="s">
        <v>402</v>
      </c>
      <c r="D810" s="109">
        <v>4</v>
      </c>
      <c r="E810" s="109"/>
      <c r="F810" s="114"/>
      <c r="G810" s="109" t="s">
        <v>3292</v>
      </c>
      <c r="H810" s="109" t="s">
        <v>3298</v>
      </c>
      <c r="I810" s="109" t="s">
        <v>3299</v>
      </c>
    </row>
    <row r="811" spans="1:9" ht="15.75" hidden="1" thickBot="1" x14ac:dyDescent="0.3">
      <c r="A811" s="112" t="s">
        <v>3300</v>
      </c>
      <c r="B811" s="112" t="s">
        <v>1953</v>
      </c>
      <c r="C811" s="123" t="s">
        <v>402</v>
      </c>
      <c r="D811" s="112">
        <v>4</v>
      </c>
      <c r="E811" s="112" t="s">
        <v>1915</v>
      </c>
      <c r="F811" s="113"/>
      <c r="G811" s="112" t="s">
        <v>2220</v>
      </c>
      <c r="H811" s="112" t="s">
        <v>58</v>
      </c>
      <c r="I811" s="113" t="s">
        <v>2999</v>
      </c>
    </row>
    <row r="812" spans="1:9" ht="39" hidden="1" thickBot="1" x14ac:dyDescent="0.3">
      <c r="A812" s="109" t="s">
        <v>3301</v>
      </c>
      <c r="B812" s="109" t="s">
        <v>1895</v>
      </c>
      <c r="C812" s="123" t="s">
        <v>402</v>
      </c>
      <c r="D812" s="109">
        <v>4</v>
      </c>
      <c r="E812" s="109"/>
      <c r="F812" s="114"/>
      <c r="G812" s="109" t="s">
        <v>2241</v>
      </c>
      <c r="H812" s="109" t="s">
        <v>3302</v>
      </c>
      <c r="I812" s="109" t="s">
        <v>3303</v>
      </c>
    </row>
    <row r="813" spans="1:9" ht="39" hidden="1" thickBot="1" x14ac:dyDescent="0.3">
      <c r="A813" s="112" t="s">
        <v>478</v>
      </c>
      <c r="B813" s="112" t="s">
        <v>1895</v>
      </c>
      <c r="C813" s="123" t="s">
        <v>402</v>
      </c>
      <c r="D813" s="112">
        <v>4</v>
      </c>
      <c r="E813" s="112"/>
      <c r="F813" s="113"/>
      <c r="G813" s="112" t="s">
        <v>3304</v>
      </c>
      <c r="H813" s="112" t="s">
        <v>58</v>
      </c>
      <c r="I813" s="113" t="s">
        <v>3305</v>
      </c>
    </row>
    <row r="814" spans="1:9" ht="39" hidden="1" thickBot="1" x14ac:dyDescent="0.3">
      <c r="A814" s="109" t="s">
        <v>3306</v>
      </c>
      <c r="B814" s="109" t="s">
        <v>1953</v>
      </c>
      <c r="C814" s="123" t="s">
        <v>402</v>
      </c>
      <c r="D814" s="109">
        <v>4</v>
      </c>
      <c r="E814" s="109" t="s">
        <v>1915</v>
      </c>
      <c r="F814" s="109" t="s">
        <v>1954</v>
      </c>
      <c r="G814" s="109" t="s">
        <v>2243</v>
      </c>
      <c r="H814" s="109" t="s">
        <v>3307</v>
      </c>
      <c r="I814" s="109" t="s">
        <v>3308</v>
      </c>
    </row>
    <row r="815" spans="1:9" ht="26.25" hidden="1" thickBot="1" x14ac:dyDescent="0.3">
      <c r="A815" s="112" t="s">
        <v>3309</v>
      </c>
      <c r="B815" s="112" t="s">
        <v>1953</v>
      </c>
      <c r="C815" s="123" t="s">
        <v>402</v>
      </c>
      <c r="D815" s="112">
        <v>4</v>
      </c>
      <c r="E815" s="112" t="s">
        <v>1915</v>
      </c>
      <c r="F815" s="113"/>
      <c r="G815" s="112"/>
      <c r="H815" s="112"/>
      <c r="I815" s="113" t="s">
        <v>3310</v>
      </c>
    </row>
    <row r="816" spans="1:9" ht="15.75" hidden="1" thickBot="1" x14ac:dyDescent="0.3">
      <c r="A816" s="111" t="s">
        <v>3311</v>
      </c>
      <c r="B816" s="109" t="s">
        <v>1953</v>
      </c>
      <c r="C816" s="123" t="s">
        <v>402</v>
      </c>
      <c r="D816" s="109">
        <v>4</v>
      </c>
      <c r="E816" s="109" t="s">
        <v>1915</v>
      </c>
      <c r="F816" s="109"/>
      <c r="G816" s="109"/>
      <c r="H816" s="109"/>
      <c r="I816" s="109"/>
    </row>
    <row r="817" spans="1:9" ht="15.75" hidden="1" thickBot="1" x14ac:dyDescent="0.3">
      <c r="A817" s="111" t="s">
        <v>3312</v>
      </c>
      <c r="B817" s="112" t="s">
        <v>1953</v>
      </c>
      <c r="C817" s="123" t="s">
        <v>402</v>
      </c>
      <c r="D817" s="112">
        <v>4</v>
      </c>
      <c r="E817" s="112" t="s">
        <v>1915</v>
      </c>
      <c r="F817" s="113"/>
      <c r="G817" s="112"/>
      <c r="H817" s="112"/>
      <c r="I817" s="113"/>
    </row>
    <row r="818" spans="1:9" ht="15.75" hidden="1" thickBot="1" x14ac:dyDescent="0.3">
      <c r="A818" s="111" t="s">
        <v>3313</v>
      </c>
      <c r="B818" s="109" t="s">
        <v>1953</v>
      </c>
      <c r="C818" s="123" t="s">
        <v>402</v>
      </c>
      <c r="D818" s="109">
        <v>4</v>
      </c>
      <c r="E818" s="109" t="s">
        <v>1915</v>
      </c>
      <c r="F818" s="109"/>
      <c r="G818" s="109"/>
      <c r="H818" s="109"/>
      <c r="I818" s="109"/>
    </row>
    <row r="819" spans="1:9" ht="15.75" hidden="1" thickBot="1" x14ac:dyDescent="0.3">
      <c r="A819" s="111" t="s">
        <v>3314</v>
      </c>
      <c r="B819" s="112" t="s">
        <v>1953</v>
      </c>
      <c r="C819" s="123" t="s">
        <v>402</v>
      </c>
      <c r="D819" s="112">
        <v>4</v>
      </c>
      <c r="E819" s="112" t="s">
        <v>1915</v>
      </c>
      <c r="F819" s="113"/>
      <c r="G819" s="112"/>
      <c r="H819" s="112"/>
      <c r="I819" s="113"/>
    </row>
    <row r="820" spans="1:9" ht="26.25" hidden="1" thickBot="1" x14ac:dyDescent="0.3">
      <c r="A820" s="109" t="s">
        <v>575</v>
      </c>
      <c r="B820" s="109" t="s">
        <v>1895</v>
      </c>
      <c r="C820" s="123" t="s">
        <v>402</v>
      </c>
      <c r="D820" s="109">
        <v>4</v>
      </c>
      <c r="E820" s="109" t="s">
        <v>1915</v>
      </c>
      <c r="F820" s="114"/>
      <c r="G820" s="109" t="s">
        <v>1950</v>
      </c>
      <c r="H820" s="109"/>
      <c r="I820" s="109" t="s">
        <v>3315</v>
      </c>
    </row>
    <row r="821" spans="1:9" ht="26.25" hidden="1" thickBot="1" x14ac:dyDescent="0.3">
      <c r="A821" s="112" t="s">
        <v>3316</v>
      </c>
      <c r="B821" s="112" t="s">
        <v>1895</v>
      </c>
      <c r="C821" s="123" t="s">
        <v>402</v>
      </c>
      <c r="D821" s="112">
        <v>4</v>
      </c>
      <c r="E821" s="112"/>
      <c r="F821" s="113"/>
      <c r="G821" s="112" t="s">
        <v>3317</v>
      </c>
      <c r="H821" s="112"/>
      <c r="I821" s="113" t="s">
        <v>3318</v>
      </c>
    </row>
    <row r="822" spans="1:9" ht="39" hidden="1" thickBot="1" x14ac:dyDescent="0.3">
      <c r="A822" s="109" t="s">
        <v>476</v>
      </c>
      <c r="B822" s="109" t="s">
        <v>1895</v>
      </c>
      <c r="C822" s="123" t="s">
        <v>402</v>
      </c>
      <c r="D822" s="109">
        <v>4</v>
      </c>
      <c r="E822" s="109" t="s">
        <v>1915</v>
      </c>
      <c r="F822" s="114"/>
      <c r="G822" s="109" t="s">
        <v>2258</v>
      </c>
      <c r="H822" s="109" t="s">
        <v>3319</v>
      </c>
      <c r="I822" s="109" t="s">
        <v>3320</v>
      </c>
    </row>
    <row r="823" spans="1:9" ht="26.25" hidden="1" thickBot="1" x14ac:dyDescent="0.3">
      <c r="A823" s="112" t="s">
        <v>3321</v>
      </c>
      <c r="B823" s="112" t="s">
        <v>1895</v>
      </c>
      <c r="C823" s="123" t="s">
        <v>402</v>
      </c>
      <c r="D823" s="112">
        <v>4</v>
      </c>
      <c r="E823" s="112" t="s">
        <v>1915</v>
      </c>
      <c r="F823" s="113" t="s">
        <v>3322</v>
      </c>
      <c r="G823" s="112" t="s">
        <v>2264</v>
      </c>
      <c r="H823" s="112" t="s">
        <v>58</v>
      </c>
      <c r="I823" s="113" t="s">
        <v>3244</v>
      </c>
    </row>
    <row r="824" spans="1:9" ht="15.75" hidden="1" thickBot="1" x14ac:dyDescent="0.3">
      <c r="A824" s="111" t="s">
        <v>584</v>
      </c>
      <c r="B824" s="109" t="s">
        <v>1890</v>
      </c>
      <c r="C824" s="123" t="s">
        <v>402</v>
      </c>
      <c r="D824" s="109">
        <v>4</v>
      </c>
      <c r="E824" s="109" t="s">
        <v>1915</v>
      </c>
      <c r="F824" s="114"/>
      <c r="G824" s="109" t="s">
        <v>2837</v>
      </c>
      <c r="H824" s="109" t="s">
        <v>2763</v>
      </c>
      <c r="I824" s="109"/>
    </row>
    <row r="825" spans="1:9" ht="26.25" hidden="1" thickBot="1" x14ac:dyDescent="0.3">
      <c r="A825" s="112" t="s">
        <v>3323</v>
      </c>
      <c r="B825" s="112" t="s">
        <v>1895</v>
      </c>
      <c r="C825" s="123" t="s">
        <v>402</v>
      </c>
      <c r="D825" s="112">
        <v>4</v>
      </c>
      <c r="E825" s="112"/>
      <c r="F825" s="113"/>
      <c r="G825" s="112" t="s">
        <v>2313</v>
      </c>
      <c r="H825" s="112" t="s">
        <v>3324</v>
      </c>
      <c r="I825" s="113" t="s">
        <v>3325</v>
      </c>
    </row>
    <row r="826" spans="1:9" ht="15.75" hidden="1" thickBot="1" x14ac:dyDescent="0.3">
      <c r="A826" s="109" t="s">
        <v>3326</v>
      </c>
      <c r="B826" s="109" t="s">
        <v>2412</v>
      </c>
      <c r="C826" s="123" t="s">
        <v>402</v>
      </c>
      <c r="D826" s="109">
        <v>4</v>
      </c>
      <c r="E826" s="109" t="s">
        <v>1915</v>
      </c>
      <c r="F826" s="114"/>
      <c r="G826" s="109" t="s">
        <v>2877</v>
      </c>
      <c r="H826" s="109"/>
      <c r="I826" s="109" t="s">
        <v>3327</v>
      </c>
    </row>
    <row r="827" spans="1:9" ht="15.75" hidden="1" thickBot="1" x14ac:dyDescent="0.3">
      <c r="A827" s="111" t="s">
        <v>3328</v>
      </c>
      <c r="B827" s="112" t="s">
        <v>1895</v>
      </c>
      <c r="C827" s="123" t="s">
        <v>402</v>
      </c>
      <c r="D827" s="112">
        <v>4</v>
      </c>
      <c r="E827" s="112"/>
      <c r="F827" s="113"/>
      <c r="G827" s="112" t="s">
        <v>2313</v>
      </c>
      <c r="H827" s="112" t="s">
        <v>3329</v>
      </c>
      <c r="I827" s="113"/>
    </row>
    <row r="828" spans="1:9" ht="15.75" hidden="1" thickBot="1" x14ac:dyDescent="0.3">
      <c r="A828" s="109" t="s">
        <v>3330</v>
      </c>
      <c r="B828" s="109" t="s">
        <v>1895</v>
      </c>
      <c r="C828" s="123" t="s">
        <v>402</v>
      </c>
      <c r="D828" s="109">
        <v>4</v>
      </c>
      <c r="E828" s="109" t="s">
        <v>1915</v>
      </c>
      <c r="F828" s="109"/>
      <c r="G828" s="109" t="s">
        <v>2842</v>
      </c>
      <c r="H828" s="109" t="s">
        <v>58</v>
      </c>
      <c r="I828" s="109" t="s">
        <v>2827</v>
      </c>
    </row>
    <row r="829" spans="1:9" ht="128.25" hidden="1" thickBot="1" x14ac:dyDescent="0.3">
      <c r="A829" s="112" t="s">
        <v>3331</v>
      </c>
      <c r="B829" s="112" t="s">
        <v>1895</v>
      </c>
      <c r="C829" s="123" t="s">
        <v>402</v>
      </c>
      <c r="D829" s="112">
        <v>4</v>
      </c>
      <c r="E829" s="112" t="s">
        <v>1915</v>
      </c>
      <c r="F829" s="113" t="s">
        <v>2046</v>
      </c>
      <c r="G829" s="112" t="s">
        <v>2319</v>
      </c>
      <c r="H829" s="112" t="s">
        <v>3332</v>
      </c>
      <c r="I829" s="113" t="s">
        <v>3333</v>
      </c>
    </row>
    <row r="830" spans="1:9" ht="15.75" hidden="1" thickBot="1" x14ac:dyDescent="0.3">
      <c r="A830" s="109" t="s">
        <v>3334</v>
      </c>
      <c r="B830" s="109" t="s">
        <v>1895</v>
      </c>
      <c r="C830" s="123" t="s">
        <v>402</v>
      </c>
      <c r="D830" s="109">
        <v>4</v>
      </c>
      <c r="E830" s="109" t="s">
        <v>1915</v>
      </c>
      <c r="F830" s="114"/>
      <c r="G830" s="109" t="s">
        <v>2319</v>
      </c>
      <c r="H830" s="109" t="s">
        <v>3335</v>
      </c>
      <c r="I830" s="109" t="s">
        <v>3336</v>
      </c>
    </row>
    <row r="831" spans="1:9" ht="15.75" hidden="1" thickBot="1" x14ac:dyDescent="0.3">
      <c r="A831" s="111" t="s">
        <v>3337</v>
      </c>
      <c r="B831" s="112" t="s">
        <v>1895</v>
      </c>
      <c r="C831" s="123" t="s">
        <v>402</v>
      </c>
      <c r="D831" s="112">
        <v>4</v>
      </c>
      <c r="E831" s="112" t="s">
        <v>1915</v>
      </c>
      <c r="F831" s="113"/>
      <c r="G831" s="112" t="s">
        <v>2319</v>
      </c>
      <c r="H831" s="112" t="s">
        <v>3338</v>
      </c>
      <c r="I831" s="113"/>
    </row>
    <row r="832" spans="1:9" ht="15.75" hidden="1" thickBot="1" x14ac:dyDescent="0.3">
      <c r="A832" s="109" t="s">
        <v>3339</v>
      </c>
      <c r="B832" s="109" t="s">
        <v>1895</v>
      </c>
      <c r="C832" s="123" t="s">
        <v>402</v>
      </c>
      <c r="D832" s="109">
        <v>4</v>
      </c>
      <c r="E832" s="109" t="s">
        <v>1915</v>
      </c>
      <c r="F832" s="114"/>
      <c r="G832" s="109" t="s">
        <v>2319</v>
      </c>
      <c r="H832" s="109" t="s">
        <v>3340</v>
      </c>
      <c r="I832" s="109" t="s">
        <v>3341</v>
      </c>
    </row>
    <row r="833" spans="1:9" ht="51.75" hidden="1" thickBot="1" x14ac:dyDescent="0.3">
      <c r="A833" s="112" t="s">
        <v>3342</v>
      </c>
      <c r="B833" s="112" t="s">
        <v>1895</v>
      </c>
      <c r="C833" s="123" t="s">
        <v>402</v>
      </c>
      <c r="D833" s="112">
        <v>4</v>
      </c>
      <c r="E833" s="112" t="s">
        <v>1915</v>
      </c>
      <c r="F833" s="113"/>
      <c r="G833" s="112" t="s">
        <v>2319</v>
      </c>
      <c r="H833" s="112" t="s">
        <v>3343</v>
      </c>
      <c r="I833" s="113" t="s">
        <v>3344</v>
      </c>
    </row>
    <row r="834" spans="1:9" ht="15.75" hidden="1" thickBot="1" x14ac:dyDescent="0.3">
      <c r="A834" s="109" t="s">
        <v>3345</v>
      </c>
      <c r="B834" s="109" t="s">
        <v>1895</v>
      </c>
      <c r="C834" s="123" t="s">
        <v>402</v>
      </c>
      <c r="D834" s="109">
        <v>4</v>
      </c>
      <c r="E834" s="109" t="s">
        <v>1915</v>
      </c>
      <c r="F834" s="114"/>
      <c r="G834" s="109" t="s">
        <v>2319</v>
      </c>
      <c r="H834" s="109" t="s">
        <v>3346</v>
      </c>
      <c r="I834" s="109" t="s">
        <v>3347</v>
      </c>
    </row>
    <row r="835" spans="1:9" ht="51.75" hidden="1" thickBot="1" x14ac:dyDescent="0.3">
      <c r="A835" s="112" t="s">
        <v>3348</v>
      </c>
      <c r="B835" s="112" t="s">
        <v>1895</v>
      </c>
      <c r="C835" s="123" t="s">
        <v>402</v>
      </c>
      <c r="D835" s="112">
        <v>4</v>
      </c>
      <c r="E835" s="112" t="s">
        <v>1915</v>
      </c>
      <c r="F835" s="113"/>
      <c r="G835" s="112" t="s">
        <v>2319</v>
      </c>
      <c r="H835" s="112" t="s">
        <v>3349</v>
      </c>
      <c r="I835" s="113" t="s">
        <v>3350</v>
      </c>
    </row>
    <row r="836" spans="1:9" ht="15.75" hidden="1" thickBot="1" x14ac:dyDescent="0.3">
      <c r="A836" s="111" t="s">
        <v>3351</v>
      </c>
      <c r="B836" s="109" t="s">
        <v>1895</v>
      </c>
      <c r="C836" s="123" t="s">
        <v>402</v>
      </c>
      <c r="D836" s="109">
        <v>4</v>
      </c>
      <c r="E836" s="109" t="s">
        <v>1915</v>
      </c>
      <c r="F836" s="114"/>
      <c r="G836" s="109" t="s">
        <v>2319</v>
      </c>
      <c r="H836" s="109" t="s">
        <v>3352</v>
      </c>
      <c r="I836" s="109"/>
    </row>
    <row r="837" spans="1:9" ht="15.75" hidden="1" thickBot="1" x14ac:dyDescent="0.3">
      <c r="A837" s="112" t="s">
        <v>3353</v>
      </c>
      <c r="B837" s="112" t="s">
        <v>1895</v>
      </c>
      <c r="C837" s="123" t="s">
        <v>402</v>
      </c>
      <c r="D837" s="112">
        <v>4</v>
      </c>
      <c r="E837" s="112" t="s">
        <v>1915</v>
      </c>
      <c r="F837" s="113"/>
      <c r="G837" s="112" t="s">
        <v>3354</v>
      </c>
      <c r="H837" s="112"/>
      <c r="I837" s="113" t="s">
        <v>3355</v>
      </c>
    </row>
    <row r="838" spans="1:9" ht="15.75" hidden="1" thickBot="1" x14ac:dyDescent="0.3">
      <c r="A838" s="109" t="s">
        <v>504</v>
      </c>
      <c r="B838" s="109" t="s">
        <v>1895</v>
      </c>
      <c r="C838" s="123" t="s">
        <v>402</v>
      </c>
      <c r="D838" s="109">
        <v>4</v>
      </c>
      <c r="E838" s="109" t="s">
        <v>1915</v>
      </c>
      <c r="F838" s="114"/>
      <c r="G838" s="109" t="s">
        <v>3356</v>
      </c>
      <c r="H838" s="109"/>
      <c r="I838" s="109" t="s">
        <v>3357</v>
      </c>
    </row>
    <row r="839" spans="1:9" ht="15.75" hidden="1" thickBot="1" x14ac:dyDescent="0.3">
      <c r="A839" s="112" t="s">
        <v>427</v>
      </c>
      <c r="B839" s="112" t="s">
        <v>1895</v>
      </c>
      <c r="C839" s="123" t="s">
        <v>402</v>
      </c>
      <c r="D839" s="112">
        <v>4</v>
      </c>
      <c r="E839" s="112" t="s">
        <v>1915</v>
      </c>
      <c r="F839" s="113"/>
      <c r="G839" s="112" t="s">
        <v>1950</v>
      </c>
      <c r="H839" s="112"/>
      <c r="I839" s="113" t="s">
        <v>3358</v>
      </c>
    </row>
    <row r="840" spans="1:9" ht="15.75" hidden="1" thickBot="1" x14ac:dyDescent="0.3">
      <c r="A840" s="109" t="s">
        <v>3359</v>
      </c>
      <c r="B840" s="109" t="s">
        <v>1953</v>
      </c>
      <c r="C840" s="123" t="s">
        <v>402</v>
      </c>
      <c r="D840" s="109">
        <v>4</v>
      </c>
      <c r="E840" s="109" t="s">
        <v>1915</v>
      </c>
      <c r="F840" s="109" t="s">
        <v>3360</v>
      </c>
      <c r="G840" s="109" t="s">
        <v>3064</v>
      </c>
      <c r="H840" s="114"/>
      <c r="I840" s="109" t="s">
        <v>2995</v>
      </c>
    </row>
    <row r="841" spans="1:9" ht="15.75" hidden="1" thickBot="1" x14ac:dyDescent="0.3">
      <c r="A841" s="112" t="s">
        <v>3361</v>
      </c>
      <c r="B841" s="112" t="s">
        <v>3362</v>
      </c>
      <c r="C841" s="123" t="s">
        <v>402</v>
      </c>
      <c r="D841" s="112">
        <v>4</v>
      </c>
      <c r="E841" s="112"/>
      <c r="F841" s="113"/>
      <c r="G841" s="112" t="s">
        <v>1965</v>
      </c>
      <c r="H841" s="112"/>
      <c r="I841" s="113" t="s">
        <v>3363</v>
      </c>
    </row>
    <row r="842" spans="1:9" ht="39" hidden="1" thickBot="1" x14ac:dyDescent="0.3">
      <c r="A842" s="109" t="s">
        <v>482</v>
      </c>
      <c r="B842" s="109" t="s">
        <v>1895</v>
      </c>
      <c r="C842" s="123" t="s">
        <v>402</v>
      </c>
      <c r="D842" s="109">
        <v>4</v>
      </c>
      <c r="E842" s="109"/>
      <c r="F842" s="114"/>
      <c r="G842" s="109" t="s">
        <v>2921</v>
      </c>
      <c r="H842" s="109" t="s">
        <v>3364</v>
      </c>
      <c r="I842" s="109" t="s">
        <v>3365</v>
      </c>
    </row>
    <row r="843" spans="1:9" ht="26.25" hidden="1" thickBot="1" x14ac:dyDescent="0.3">
      <c r="A843" s="112" t="s">
        <v>431</v>
      </c>
      <c r="B843" s="112" t="s">
        <v>1895</v>
      </c>
      <c r="C843" s="123" t="s">
        <v>402</v>
      </c>
      <c r="D843" s="112">
        <v>4</v>
      </c>
      <c r="E843" s="112"/>
      <c r="F843" s="113"/>
      <c r="G843" s="112" t="s">
        <v>2921</v>
      </c>
      <c r="H843" s="112" t="s">
        <v>3366</v>
      </c>
      <c r="I843" s="113" t="s">
        <v>3367</v>
      </c>
    </row>
    <row r="844" spans="1:9" ht="39" hidden="1" thickBot="1" x14ac:dyDescent="0.3">
      <c r="A844" s="109" t="s">
        <v>3368</v>
      </c>
      <c r="B844" s="109" t="s">
        <v>1895</v>
      </c>
      <c r="C844" s="123" t="s">
        <v>402</v>
      </c>
      <c r="D844" s="109">
        <v>4</v>
      </c>
      <c r="E844" s="109"/>
      <c r="F844" s="114"/>
      <c r="G844" s="109" t="s">
        <v>2921</v>
      </c>
      <c r="H844" s="109" t="s">
        <v>3369</v>
      </c>
      <c r="I844" s="109" t="s">
        <v>3370</v>
      </c>
    </row>
    <row r="845" spans="1:9" ht="26.25" hidden="1" thickBot="1" x14ac:dyDescent="0.3">
      <c r="A845" s="112" t="s">
        <v>525</v>
      </c>
      <c r="B845" s="112" t="s">
        <v>1895</v>
      </c>
      <c r="C845" s="123" t="s">
        <v>402</v>
      </c>
      <c r="D845" s="112">
        <v>4</v>
      </c>
      <c r="E845" s="112"/>
      <c r="F845" s="113"/>
      <c r="G845" s="112" t="s">
        <v>2337</v>
      </c>
      <c r="H845" s="112" t="s">
        <v>3371</v>
      </c>
      <c r="I845" s="113" t="s">
        <v>3372</v>
      </c>
    </row>
    <row r="846" spans="1:9" ht="15.75" hidden="1" thickBot="1" x14ac:dyDescent="0.3">
      <c r="A846" s="109" t="s">
        <v>3373</v>
      </c>
      <c r="B846" s="109" t="s">
        <v>1895</v>
      </c>
      <c r="C846" s="123" t="s">
        <v>402</v>
      </c>
      <c r="D846" s="109">
        <v>4</v>
      </c>
      <c r="E846" s="109"/>
      <c r="F846" s="114"/>
      <c r="G846" s="109" t="s">
        <v>2337</v>
      </c>
      <c r="H846" s="109" t="s">
        <v>3374</v>
      </c>
      <c r="I846" s="109" t="s">
        <v>2848</v>
      </c>
    </row>
    <row r="847" spans="1:9" ht="39" hidden="1" thickBot="1" x14ac:dyDescent="0.3">
      <c r="A847" s="112" t="s">
        <v>3375</v>
      </c>
      <c r="B847" s="112" t="s">
        <v>1953</v>
      </c>
      <c r="C847" s="123" t="s">
        <v>402</v>
      </c>
      <c r="D847" s="112">
        <v>4</v>
      </c>
      <c r="E847" s="112" t="s">
        <v>1915</v>
      </c>
      <c r="F847" s="113" t="s">
        <v>1954</v>
      </c>
      <c r="G847" s="112" t="s">
        <v>3376</v>
      </c>
      <c r="H847" s="112" t="s">
        <v>3377</v>
      </c>
      <c r="I847" s="113" t="s">
        <v>3378</v>
      </c>
    </row>
    <row r="848" spans="1:9" ht="15.75" hidden="1" thickBot="1" x14ac:dyDescent="0.3">
      <c r="A848" s="111" t="s">
        <v>3379</v>
      </c>
      <c r="B848" s="109" t="s">
        <v>1953</v>
      </c>
      <c r="C848" s="123" t="s">
        <v>402</v>
      </c>
      <c r="D848" s="109">
        <v>4</v>
      </c>
      <c r="E848" s="109" t="s">
        <v>1915</v>
      </c>
      <c r="F848" s="109"/>
      <c r="G848" s="109"/>
      <c r="H848" s="109"/>
      <c r="I848" s="109"/>
    </row>
    <row r="849" spans="1:9" ht="26.25" hidden="1" thickBot="1" x14ac:dyDescent="0.3">
      <c r="A849" s="112" t="s">
        <v>3380</v>
      </c>
      <c r="B849" s="112" t="s">
        <v>1953</v>
      </c>
      <c r="C849" s="123" t="s">
        <v>402</v>
      </c>
      <c r="D849" s="112">
        <v>4</v>
      </c>
      <c r="E849" s="112" t="s">
        <v>1915</v>
      </c>
      <c r="F849" s="113"/>
      <c r="G849" s="112"/>
      <c r="H849" s="112"/>
      <c r="I849" s="113" t="s">
        <v>3381</v>
      </c>
    </row>
    <row r="850" spans="1:9" ht="15.75" hidden="1" thickBot="1" x14ac:dyDescent="0.3">
      <c r="A850" s="111" t="s">
        <v>3382</v>
      </c>
      <c r="B850" s="109" t="s">
        <v>1953</v>
      </c>
      <c r="C850" s="123" t="s">
        <v>402</v>
      </c>
      <c r="D850" s="109">
        <v>4</v>
      </c>
      <c r="E850" s="109" t="s">
        <v>1915</v>
      </c>
      <c r="F850" s="109"/>
      <c r="G850" s="109"/>
      <c r="H850" s="109"/>
      <c r="I850" s="109"/>
    </row>
    <row r="851" spans="1:9" ht="15.75" hidden="1" thickBot="1" x14ac:dyDescent="0.3">
      <c r="A851" s="112" t="s">
        <v>3383</v>
      </c>
      <c r="B851" s="112" t="s">
        <v>1953</v>
      </c>
      <c r="C851" s="123" t="s">
        <v>402</v>
      </c>
      <c r="D851" s="112">
        <v>4</v>
      </c>
      <c r="E851" s="112" t="s">
        <v>1915</v>
      </c>
      <c r="F851" s="113"/>
      <c r="G851" s="112"/>
      <c r="H851" s="112"/>
      <c r="I851" s="113" t="s">
        <v>3384</v>
      </c>
    </row>
    <row r="852" spans="1:9" ht="15.75" hidden="1" thickBot="1" x14ac:dyDescent="0.3">
      <c r="A852" s="111" t="s">
        <v>3385</v>
      </c>
      <c r="B852" s="109" t="s">
        <v>1953</v>
      </c>
      <c r="C852" s="123" t="s">
        <v>402</v>
      </c>
      <c r="D852" s="109">
        <v>4</v>
      </c>
      <c r="E852" s="109" t="s">
        <v>1915</v>
      </c>
      <c r="F852" s="109"/>
      <c r="G852" s="109"/>
      <c r="H852" s="109"/>
      <c r="I852" s="109"/>
    </row>
    <row r="853" spans="1:9" ht="39" hidden="1" thickBot="1" x14ac:dyDescent="0.3">
      <c r="A853" s="112" t="s">
        <v>479</v>
      </c>
      <c r="B853" s="112" t="s">
        <v>1895</v>
      </c>
      <c r="C853" s="123" t="s">
        <v>402</v>
      </c>
      <c r="D853" s="112">
        <v>4</v>
      </c>
      <c r="E853" s="112"/>
      <c r="F853" s="113"/>
      <c r="G853" s="112" t="s">
        <v>3376</v>
      </c>
      <c r="H853" s="112" t="s">
        <v>3386</v>
      </c>
      <c r="I853" s="113" t="s">
        <v>3387</v>
      </c>
    </row>
    <row r="854" spans="1:9" ht="51.75" hidden="1" thickBot="1" x14ac:dyDescent="0.3">
      <c r="A854" s="109" t="s">
        <v>484</v>
      </c>
      <c r="B854" s="109" t="s">
        <v>1953</v>
      </c>
      <c r="C854" s="123" t="s">
        <v>402</v>
      </c>
      <c r="D854" s="109">
        <v>4</v>
      </c>
      <c r="E854" s="109" t="s">
        <v>1915</v>
      </c>
      <c r="F854" s="109" t="s">
        <v>3388</v>
      </c>
      <c r="G854" s="109" t="s">
        <v>3376</v>
      </c>
      <c r="H854" s="109" t="s">
        <v>3389</v>
      </c>
      <c r="I854" s="109" t="s">
        <v>3390</v>
      </c>
    </row>
    <row r="855" spans="1:9" ht="15.75" hidden="1" thickBot="1" x14ac:dyDescent="0.3">
      <c r="A855" s="112" t="s">
        <v>493</v>
      </c>
      <c r="B855" s="112" t="s">
        <v>1895</v>
      </c>
      <c r="C855" s="123" t="s">
        <v>402</v>
      </c>
      <c r="D855" s="112">
        <v>4</v>
      </c>
      <c r="E855" s="112"/>
      <c r="F855" s="113"/>
      <c r="G855" s="112" t="s">
        <v>2405</v>
      </c>
      <c r="H855" s="112" t="s">
        <v>58</v>
      </c>
      <c r="I855" s="113" t="s">
        <v>2999</v>
      </c>
    </row>
    <row r="856" spans="1:9" ht="26.25" hidden="1" thickBot="1" x14ac:dyDescent="0.3">
      <c r="A856" s="109" t="s">
        <v>541</v>
      </c>
      <c r="B856" s="109" t="s">
        <v>1895</v>
      </c>
      <c r="C856" s="123" t="s">
        <v>402</v>
      </c>
      <c r="D856" s="109">
        <v>4</v>
      </c>
      <c r="E856" s="109" t="s">
        <v>1915</v>
      </c>
      <c r="F856" s="114"/>
      <c r="G856" s="109" t="s">
        <v>2936</v>
      </c>
      <c r="H856" s="109" t="s">
        <v>58</v>
      </c>
      <c r="I856" s="109" t="s">
        <v>3391</v>
      </c>
    </row>
    <row r="857" spans="1:9" ht="51.75" hidden="1" thickBot="1" x14ac:dyDescent="0.3">
      <c r="A857" s="112" t="s">
        <v>491</v>
      </c>
      <c r="B857" s="112" t="s">
        <v>2412</v>
      </c>
      <c r="C857" s="123" t="s">
        <v>402</v>
      </c>
      <c r="D857" s="112">
        <v>4</v>
      </c>
      <c r="E857" s="112" t="s">
        <v>1915</v>
      </c>
      <c r="F857" s="113"/>
      <c r="G857" s="112" t="s">
        <v>2413</v>
      </c>
      <c r="H857" s="112" t="s">
        <v>3392</v>
      </c>
      <c r="I857" s="113" t="s">
        <v>3393</v>
      </c>
    </row>
    <row r="858" spans="1:9" ht="64.5" hidden="1" thickBot="1" x14ac:dyDescent="0.3">
      <c r="A858" s="109" t="s">
        <v>458</v>
      </c>
      <c r="B858" s="109" t="s">
        <v>2412</v>
      </c>
      <c r="C858" s="123" t="s">
        <v>402</v>
      </c>
      <c r="D858" s="109">
        <v>4</v>
      </c>
      <c r="E858" s="109" t="s">
        <v>1915</v>
      </c>
      <c r="F858" s="114"/>
      <c r="G858" s="109" t="s">
        <v>2976</v>
      </c>
      <c r="H858" s="109" t="s">
        <v>3394</v>
      </c>
      <c r="I858" s="109" t="s">
        <v>3395</v>
      </c>
    </row>
    <row r="859" spans="1:9" ht="39" hidden="1" thickBot="1" x14ac:dyDescent="0.3">
      <c r="A859" s="112" t="s">
        <v>420</v>
      </c>
      <c r="B859" s="112" t="s">
        <v>2412</v>
      </c>
      <c r="C859" s="123" t="s">
        <v>402</v>
      </c>
      <c r="D859" s="112">
        <v>4</v>
      </c>
      <c r="E859" s="112" t="s">
        <v>1915</v>
      </c>
      <c r="F859" s="113"/>
      <c r="G859" s="112" t="s">
        <v>2418</v>
      </c>
      <c r="H859" s="112" t="s">
        <v>3396</v>
      </c>
      <c r="I859" s="113" t="s">
        <v>3397</v>
      </c>
    </row>
    <row r="860" spans="1:9" ht="26.25" hidden="1" thickBot="1" x14ac:dyDescent="0.3">
      <c r="A860" s="109" t="s">
        <v>578</v>
      </c>
      <c r="B860" s="109" t="s">
        <v>1895</v>
      </c>
      <c r="C860" s="123" t="s">
        <v>402</v>
      </c>
      <c r="D860" s="109">
        <v>4</v>
      </c>
      <c r="E860" s="109" t="s">
        <v>1915</v>
      </c>
      <c r="F860" s="114"/>
      <c r="G860" s="109" t="s">
        <v>3398</v>
      </c>
      <c r="H860" s="109" t="s">
        <v>3399</v>
      </c>
      <c r="I860" s="109" t="s">
        <v>3400</v>
      </c>
    </row>
    <row r="861" spans="1:9" ht="39" hidden="1" thickBot="1" x14ac:dyDescent="0.3">
      <c r="A861" s="112" t="s">
        <v>556</v>
      </c>
      <c r="B861" s="112" t="s">
        <v>1895</v>
      </c>
      <c r="C861" s="123" t="s">
        <v>402</v>
      </c>
      <c r="D861" s="112">
        <v>4</v>
      </c>
      <c r="E861" s="112" t="s">
        <v>1915</v>
      </c>
      <c r="F861" s="113"/>
      <c r="G861" s="112" t="s">
        <v>3398</v>
      </c>
      <c r="H861" s="112" t="s">
        <v>3401</v>
      </c>
      <c r="I861" s="113" t="s">
        <v>3402</v>
      </c>
    </row>
    <row r="862" spans="1:9" ht="51.75" hidden="1" thickBot="1" x14ac:dyDescent="0.3">
      <c r="A862" s="109" t="s">
        <v>495</v>
      </c>
      <c r="B862" s="109" t="s">
        <v>2048</v>
      </c>
      <c r="C862" s="123" t="s">
        <v>402</v>
      </c>
      <c r="D862" s="109">
        <v>4</v>
      </c>
      <c r="E862" s="109" t="s">
        <v>1915</v>
      </c>
      <c r="F862" s="114"/>
      <c r="G862" s="109" t="s">
        <v>2430</v>
      </c>
      <c r="H862" s="109" t="s">
        <v>3403</v>
      </c>
      <c r="I862" s="109" t="s">
        <v>3404</v>
      </c>
    </row>
    <row r="863" spans="1:9" ht="26.25" hidden="1" thickBot="1" x14ac:dyDescent="0.3">
      <c r="A863" s="112" t="s">
        <v>538</v>
      </c>
      <c r="B863" s="112" t="s">
        <v>2048</v>
      </c>
      <c r="C863" s="123" t="s">
        <v>402</v>
      </c>
      <c r="D863" s="112">
        <v>4</v>
      </c>
      <c r="E863" s="112" t="s">
        <v>1915</v>
      </c>
      <c r="F863" s="113"/>
      <c r="G863" s="112" t="s">
        <v>3405</v>
      </c>
      <c r="H863" s="112" t="s">
        <v>3406</v>
      </c>
      <c r="I863" s="113" t="s">
        <v>3407</v>
      </c>
    </row>
    <row r="864" spans="1:9" ht="15.75" hidden="1" thickBot="1" x14ac:dyDescent="0.3">
      <c r="A864" s="109" t="s">
        <v>520</v>
      </c>
      <c r="B864" s="109" t="s">
        <v>2048</v>
      </c>
      <c r="C864" s="123" t="s">
        <v>402</v>
      </c>
      <c r="D864" s="109">
        <v>4</v>
      </c>
      <c r="E864" s="109"/>
      <c r="F864" s="114"/>
      <c r="G864" s="109" t="s">
        <v>2050</v>
      </c>
      <c r="H864" s="109" t="s">
        <v>3408</v>
      </c>
      <c r="I864" s="109" t="s">
        <v>1701</v>
      </c>
    </row>
    <row r="865" spans="1:9" ht="15.75" hidden="1" thickBot="1" x14ac:dyDescent="0.3">
      <c r="A865" s="112" t="s">
        <v>506</v>
      </c>
      <c r="B865" s="112" t="s">
        <v>1890</v>
      </c>
      <c r="C865" s="123" t="s">
        <v>402</v>
      </c>
      <c r="D865" s="112">
        <v>4</v>
      </c>
      <c r="E865" s="112" t="s">
        <v>1915</v>
      </c>
      <c r="F865" s="113" t="s">
        <v>1982</v>
      </c>
      <c r="G865" s="112" t="s">
        <v>3409</v>
      </c>
      <c r="H865" s="112" t="s">
        <v>58</v>
      </c>
      <c r="I865" s="113" t="s">
        <v>3410</v>
      </c>
    </row>
    <row r="866" spans="1:9" ht="51.75" hidden="1" thickBot="1" x14ac:dyDescent="0.3">
      <c r="A866" s="109" t="s">
        <v>412</v>
      </c>
      <c r="B866" s="109" t="s">
        <v>1953</v>
      </c>
      <c r="C866" s="123" t="s">
        <v>402</v>
      </c>
      <c r="D866" s="109">
        <v>4</v>
      </c>
      <c r="E866" s="109" t="s">
        <v>1915</v>
      </c>
      <c r="F866" s="109" t="s">
        <v>3411</v>
      </c>
      <c r="G866" s="109" t="s">
        <v>2435</v>
      </c>
      <c r="H866" s="109" t="s">
        <v>3412</v>
      </c>
      <c r="I866" s="109" t="s">
        <v>3413</v>
      </c>
    </row>
    <row r="867" spans="1:9" ht="15.75" hidden="1" thickBot="1" x14ac:dyDescent="0.3">
      <c r="A867" s="112" t="s">
        <v>3414</v>
      </c>
      <c r="B867" s="112" t="s">
        <v>1895</v>
      </c>
      <c r="C867" s="123" t="s">
        <v>402</v>
      </c>
      <c r="D867" s="112">
        <v>4</v>
      </c>
      <c r="E867" s="112" t="s">
        <v>1915</v>
      </c>
      <c r="F867" s="113"/>
      <c r="G867" s="112" t="s">
        <v>2428</v>
      </c>
      <c r="H867" s="112" t="s">
        <v>58</v>
      </c>
      <c r="I867" s="113" t="s">
        <v>3137</v>
      </c>
    </row>
    <row r="868" spans="1:9" ht="15.75" hidden="1" thickBot="1" x14ac:dyDescent="0.3">
      <c r="A868" s="109" t="s">
        <v>510</v>
      </c>
      <c r="B868" s="109" t="s">
        <v>1890</v>
      </c>
      <c r="C868" s="123" t="s">
        <v>402</v>
      </c>
      <c r="D868" s="109">
        <v>4</v>
      </c>
      <c r="E868" s="109" t="s">
        <v>1915</v>
      </c>
      <c r="F868" s="109" t="s">
        <v>1982</v>
      </c>
      <c r="G868" s="109" t="s">
        <v>3415</v>
      </c>
      <c r="H868" s="109"/>
      <c r="I868" s="109" t="s">
        <v>3416</v>
      </c>
    </row>
    <row r="869" spans="1:9" ht="26.25" hidden="1" thickBot="1" x14ac:dyDescent="0.3">
      <c r="A869" s="112" t="s">
        <v>3417</v>
      </c>
      <c r="B869" s="112" t="s">
        <v>1895</v>
      </c>
      <c r="C869" s="123" t="s">
        <v>402</v>
      </c>
      <c r="D869" s="112">
        <v>4</v>
      </c>
      <c r="E869" s="112"/>
      <c r="F869" s="113"/>
      <c r="G869" s="112" t="s">
        <v>3317</v>
      </c>
      <c r="H869" s="112"/>
      <c r="I869" s="113" t="s">
        <v>3318</v>
      </c>
    </row>
    <row r="870" spans="1:9" ht="15.75" hidden="1" thickBot="1" x14ac:dyDescent="0.3">
      <c r="A870" s="109" t="s">
        <v>1849</v>
      </c>
      <c r="B870" s="109" t="s">
        <v>1953</v>
      </c>
      <c r="C870" s="123" t="s">
        <v>402</v>
      </c>
      <c r="D870" s="109">
        <v>4</v>
      </c>
      <c r="E870" s="109" t="s">
        <v>1915</v>
      </c>
      <c r="F870" s="109" t="s">
        <v>3418</v>
      </c>
      <c r="G870" s="109" t="s">
        <v>2472</v>
      </c>
      <c r="H870" s="109" t="s">
        <v>58</v>
      </c>
      <c r="I870" s="109" t="s">
        <v>3419</v>
      </c>
    </row>
    <row r="871" spans="1:9" ht="39" hidden="1" thickBot="1" x14ac:dyDescent="0.3">
      <c r="A871" s="112" t="s">
        <v>462</v>
      </c>
      <c r="B871" s="112" t="s">
        <v>1890</v>
      </c>
      <c r="C871" s="123" t="s">
        <v>402</v>
      </c>
      <c r="D871" s="112">
        <v>4</v>
      </c>
      <c r="E871" s="112" t="s">
        <v>1915</v>
      </c>
      <c r="F871" s="113" t="s">
        <v>1982</v>
      </c>
      <c r="G871" s="112" t="s">
        <v>3016</v>
      </c>
      <c r="H871" s="112" t="s">
        <v>3420</v>
      </c>
      <c r="I871" s="113" t="s">
        <v>3421</v>
      </c>
    </row>
    <row r="872" spans="1:9" ht="15.75" hidden="1" thickBot="1" x14ac:dyDescent="0.3">
      <c r="A872" s="109" t="s">
        <v>466</v>
      </c>
      <c r="B872" s="109" t="s">
        <v>1953</v>
      </c>
      <c r="C872" s="123" t="s">
        <v>402</v>
      </c>
      <c r="D872" s="109">
        <v>4</v>
      </c>
      <c r="E872" s="109" t="s">
        <v>1915</v>
      </c>
      <c r="F872" s="109" t="s">
        <v>3422</v>
      </c>
      <c r="G872" s="109" t="s">
        <v>3423</v>
      </c>
      <c r="H872" s="109"/>
      <c r="I872" s="109" t="s">
        <v>3424</v>
      </c>
    </row>
    <row r="873" spans="1:9" ht="26.25" hidden="1" thickBot="1" x14ac:dyDescent="0.3">
      <c r="A873" s="112" t="s">
        <v>410</v>
      </c>
      <c r="B873" s="112" t="s">
        <v>2005</v>
      </c>
      <c r="C873" s="123" t="s">
        <v>402</v>
      </c>
      <c r="D873" s="112">
        <v>4</v>
      </c>
      <c r="E873" s="112" t="s">
        <v>1915</v>
      </c>
      <c r="F873" s="113" t="s">
        <v>3425</v>
      </c>
      <c r="G873" s="112" t="s">
        <v>3016</v>
      </c>
      <c r="H873" s="112" t="s">
        <v>3426</v>
      </c>
      <c r="I873" s="113" t="s">
        <v>3427</v>
      </c>
    </row>
    <row r="874" spans="1:9" ht="51.75" hidden="1" thickBot="1" x14ac:dyDescent="0.3">
      <c r="A874" s="109" t="s">
        <v>507</v>
      </c>
      <c r="B874" s="109" t="s">
        <v>2005</v>
      </c>
      <c r="C874" s="123" t="s">
        <v>402</v>
      </c>
      <c r="D874" s="109">
        <v>4</v>
      </c>
      <c r="E874" s="109" t="s">
        <v>1915</v>
      </c>
      <c r="F874" s="109" t="s">
        <v>3425</v>
      </c>
      <c r="G874" s="109" t="s">
        <v>3021</v>
      </c>
      <c r="H874" s="109" t="s">
        <v>3428</v>
      </c>
      <c r="I874" s="109" t="s">
        <v>3429</v>
      </c>
    </row>
    <row r="875" spans="1:9" ht="102.75" hidden="1" thickBot="1" x14ac:dyDescent="0.3">
      <c r="A875" s="112" t="s">
        <v>417</v>
      </c>
      <c r="B875" s="112" t="s">
        <v>2005</v>
      </c>
      <c r="C875" s="123" t="s">
        <v>402</v>
      </c>
      <c r="D875" s="112">
        <v>4</v>
      </c>
      <c r="E875" s="112" t="s">
        <v>1915</v>
      </c>
      <c r="F875" s="113" t="s">
        <v>3430</v>
      </c>
      <c r="G875" s="112" t="s">
        <v>3021</v>
      </c>
      <c r="H875" s="112" t="s">
        <v>3431</v>
      </c>
      <c r="I875" s="113" t="s">
        <v>3432</v>
      </c>
    </row>
    <row r="876" spans="1:9" ht="64.5" hidden="1" thickBot="1" x14ac:dyDescent="0.3">
      <c r="A876" s="109" t="s">
        <v>454</v>
      </c>
      <c r="B876" s="109" t="s">
        <v>2005</v>
      </c>
      <c r="C876" s="123" t="s">
        <v>402</v>
      </c>
      <c r="D876" s="109">
        <v>4</v>
      </c>
      <c r="E876" s="109" t="s">
        <v>1915</v>
      </c>
      <c r="F876" s="114"/>
      <c r="G876" s="109" t="s">
        <v>2462</v>
      </c>
      <c r="H876" s="109" t="s">
        <v>3433</v>
      </c>
      <c r="I876" s="109" t="s">
        <v>3434</v>
      </c>
    </row>
    <row r="877" spans="1:9" ht="15.75" hidden="1" thickBot="1" x14ac:dyDescent="0.3">
      <c r="A877" s="112" t="s">
        <v>533</v>
      </c>
      <c r="B877" s="112" t="s">
        <v>2005</v>
      </c>
      <c r="C877" s="123" t="s">
        <v>402</v>
      </c>
      <c r="D877" s="112">
        <v>4</v>
      </c>
      <c r="E877" s="112" t="s">
        <v>1915</v>
      </c>
      <c r="F877" s="113"/>
      <c r="G877" s="112" t="s">
        <v>2465</v>
      </c>
      <c r="H877" s="112" t="s">
        <v>3435</v>
      </c>
      <c r="I877" s="113" t="s">
        <v>3436</v>
      </c>
    </row>
    <row r="878" spans="1:9" ht="26.25" hidden="1" thickBot="1" x14ac:dyDescent="0.3">
      <c r="A878" s="109" t="s">
        <v>3437</v>
      </c>
      <c r="B878" s="109" t="s">
        <v>1953</v>
      </c>
      <c r="C878" s="123" t="s">
        <v>402</v>
      </c>
      <c r="D878" s="109">
        <v>4</v>
      </c>
      <c r="E878" s="109" t="s">
        <v>1915</v>
      </c>
      <c r="F878" s="109" t="s">
        <v>3438</v>
      </c>
      <c r="G878" s="109" t="s">
        <v>3133</v>
      </c>
      <c r="H878" s="109"/>
      <c r="I878" s="109" t="s">
        <v>3134</v>
      </c>
    </row>
    <row r="879" spans="1:9" ht="15.75" hidden="1" thickBot="1" x14ac:dyDescent="0.3">
      <c r="A879" s="112" t="s">
        <v>3439</v>
      </c>
      <c r="B879" s="112" t="s">
        <v>2412</v>
      </c>
      <c r="C879" s="123" t="s">
        <v>402</v>
      </c>
      <c r="D879" s="112">
        <v>4</v>
      </c>
      <c r="E879" s="112" t="s">
        <v>1915</v>
      </c>
      <c r="F879" s="113" t="s">
        <v>420</v>
      </c>
      <c r="G879" s="112" t="s">
        <v>3440</v>
      </c>
      <c r="H879" s="112"/>
      <c r="I879" s="113" t="s">
        <v>3441</v>
      </c>
    </row>
    <row r="880" spans="1:9" ht="26.25" hidden="1" thickBot="1" x14ac:dyDescent="0.3">
      <c r="A880" s="109" t="s">
        <v>3442</v>
      </c>
      <c r="B880" s="109" t="s">
        <v>1953</v>
      </c>
      <c r="C880" s="123" t="s">
        <v>402</v>
      </c>
      <c r="D880" s="109">
        <v>4</v>
      </c>
      <c r="E880" s="109" t="s">
        <v>1915</v>
      </c>
      <c r="F880" s="109" t="s">
        <v>3443</v>
      </c>
      <c r="G880" s="109" t="s">
        <v>2473</v>
      </c>
      <c r="H880" s="109" t="s">
        <v>3444</v>
      </c>
      <c r="I880" s="109" t="s">
        <v>3445</v>
      </c>
    </row>
    <row r="881" spans="1:9" ht="15.75" hidden="1" thickBot="1" x14ac:dyDescent="0.3">
      <c r="A881" s="112" t="s">
        <v>3446</v>
      </c>
      <c r="B881" s="112" t="s">
        <v>1953</v>
      </c>
      <c r="C881" s="123" t="s">
        <v>402</v>
      </c>
      <c r="D881" s="112">
        <v>4</v>
      </c>
      <c r="E881" s="112" t="s">
        <v>1915</v>
      </c>
      <c r="F881" s="113"/>
      <c r="G881" s="112"/>
      <c r="H881" s="112"/>
      <c r="I881" s="113" t="s">
        <v>3445</v>
      </c>
    </row>
    <row r="882" spans="1:9" ht="15.75" hidden="1" thickBot="1" x14ac:dyDescent="0.3">
      <c r="A882" s="111" t="s">
        <v>3447</v>
      </c>
      <c r="B882" s="109" t="s">
        <v>1953</v>
      </c>
      <c r="C882" s="123" t="s">
        <v>402</v>
      </c>
      <c r="D882" s="109">
        <v>4</v>
      </c>
      <c r="E882" s="109" t="s">
        <v>1915</v>
      </c>
      <c r="F882" s="109"/>
      <c r="G882" s="109"/>
      <c r="H882" s="109"/>
      <c r="I882" s="109"/>
    </row>
    <row r="883" spans="1:9" ht="15.75" hidden="1" thickBot="1" x14ac:dyDescent="0.3">
      <c r="A883" s="111" t="s">
        <v>3448</v>
      </c>
      <c r="B883" s="112" t="s">
        <v>1953</v>
      </c>
      <c r="C883" s="123" t="s">
        <v>402</v>
      </c>
      <c r="D883" s="112">
        <v>4</v>
      </c>
      <c r="E883" s="112" t="s">
        <v>1915</v>
      </c>
      <c r="F883" s="113"/>
      <c r="G883" s="112"/>
      <c r="H883" s="112"/>
      <c r="I883" s="113"/>
    </row>
    <row r="884" spans="1:9" ht="64.5" hidden="1" thickBot="1" x14ac:dyDescent="0.3">
      <c r="A884" s="109" t="s">
        <v>472</v>
      </c>
      <c r="B884" s="109" t="s">
        <v>1895</v>
      </c>
      <c r="C884" s="123" t="s">
        <v>402</v>
      </c>
      <c r="D884" s="109">
        <v>4</v>
      </c>
      <c r="E884" s="109"/>
      <c r="F884" s="114"/>
      <c r="G884" s="109" t="s">
        <v>3060</v>
      </c>
      <c r="H884" s="109" t="s">
        <v>3449</v>
      </c>
      <c r="I884" s="109" t="s">
        <v>3450</v>
      </c>
    </row>
    <row r="885" spans="1:9" ht="39" hidden="1" thickBot="1" x14ac:dyDescent="0.3">
      <c r="A885" s="112" t="s">
        <v>448</v>
      </c>
      <c r="B885" s="112" t="s">
        <v>1895</v>
      </c>
      <c r="C885" s="123" t="s">
        <v>402</v>
      </c>
      <c r="D885" s="112">
        <v>4</v>
      </c>
      <c r="E885" s="112"/>
      <c r="F885" s="113"/>
      <c r="G885" s="112" t="s">
        <v>3060</v>
      </c>
      <c r="H885" s="112" t="s">
        <v>3451</v>
      </c>
      <c r="I885" s="113" t="s">
        <v>3452</v>
      </c>
    </row>
    <row r="886" spans="1:9" ht="64.5" hidden="1" thickBot="1" x14ac:dyDescent="0.3">
      <c r="A886" s="109" t="s">
        <v>445</v>
      </c>
      <c r="B886" s="109" t="s">
        <v>1895</v>
      </c>
      <c r="C886" s="123" t="s">
        <v>402</v>
      </c>
      <c r="D886" s="109">
        <v>4</v>
      </c>
      <c r="E886" s="109"/>
      <c r="F886" s="114"/>
      <c r="G886" s="109" t="s">
        <v>2483</v>
      </c>
      <c r="H886" s="109" t="s">
        <v>3453</v>
      </c>
      <c r="I886" s="109" t="s">
        <v>3454</v>
      </c>
    </row>
    <row r="887" spans="1:9" ht="15.75" hidden="1" thickBot="1" x14ac:dyDescent="0.3">
      <c r="A887" s="111" t="s">
        <v>3455</v>
      </c>
      <c r="B887" s="112" t="s">
        <v>1895</v>
      </c>
      <c r="C887" s="123" t="s">
        <v>402</v>
      </c>
      <c r="D887" s="112">
        <v>4</v>
      </c>
      <c r="E887" s="112" t="s">
        <v>1915</v>
      </c>
      <c r="F887" s="113"/>
      <c r="G887" s="112" t="s">
        <v>2452</v>
      </c>
      <c r="H887" s="112"/>
      <c r="I887" s="113"/>
    </row>
    <row r="888" spans="1:9" ht="15.75" hidden="1" thickBot="1" x14ac:dyDescent="0.3">
      <c r="A888" s="111" t="s">
        <v>3456</v>
      </c>
      <c r="B888" s="109" t="s">
        <v>1895</v>
      </c>
      <c r="C888" s="123" t="s">
        <v>402</v>
      </c>
      <c r="D888" s="109">
        <v>4</v>
      </c>
      <c r="E888" s="109" t="s">
        <v>1915</v>
      </c>
      <c r="F888" s="109" t="s">
        <v>1978</v>
      </c>
      <c r="G888" s="109" t="s">
        <v>2454</v>
      </c>
      <c r="H888" s="109"/>
      <c r="I888" s="109"/>
    </row>
    <row r="889" spans="1:9" ht="26.25" hidden="1" thickBot="1" x14ac:dyDescent="0.3">
      <c r="A889" s="111" t="s">
        <v>3457</v>
      </c>
      <c r="B889" s="112" t="s">
        <v>1953</v>
      </c>
      <c r="C889" s="123" t="s">
        <v>402</v>
      </c>
      <c r="D889" s="112">
        <v>4</v>
      </c>
      <c r="E889" s="112" t="s">
        <v>1915</v>
      </c>
      <c r="F889" s="113"/>
      <c r="G889" s="112" t="s">
        <v>2456</v>
      </c>
      <c r="H889" s="112"/>
      <c r="I889" s="113"/>
    </row>
    <row r="890" spans="1:9" ht="15.75" hidden="1" thickBot="1" x14ac:dyDescent="0.3">
      <c r="A890" s="111" t="s">
        <v>3458</v>
      </c>
      <c r="B890" s="109" t="s">
        <v>1895</v>
      </c>
      <c r="C890" s="123" t="s">
        <v>402</v>
      </c>
      <c r="D890" s="109">
        <v>4</v>
      </c>
      <c r="E890" s="109" t="s">
        <v>1915</v>
      </c>
      <c r="F890" s="114"/>
      <c r="G890" s="109" t="s">
        <v>2452</v>
      </c>
      <c r="H890" s="109"/>
      <c r="I890" s="109"/>
    </row>
    <row r="891" spans="1:9" ht="39" hidden="1" thickBot="1" x14ac:dyDescent="0.3">
      <c r="A891" s="112" t="s">
        <v>503</v>
      </c>
      <c r="B891" s="112" t="s">
        <v>2023</v>
      </c>
      <c r="C891" s="123" t="s">
        <v>402</v>
      </c>
      <c r="D891" s="112">
        <v>4</v>
      </c>
      <c r="E891" s="112" t="s">
        <v>1915</v>
      </c>
      <c r="F891" s="113" t="s">
        <v>1978</v>
      </c>
      <c r="G891" s="112" t="s">
        <v>2487</v>
      </c>
      <c r="H891" s="112" t="s">
        <v>3459</v>
      </c>
      <c r="I891" s="113" t="s">
        <v>3460</v>
      </c>
    </row>
    <row r="892" spans="1:9" ht="15.75" hidden="1" thickBot="1" x14ac:dyDescent="0.3">
      <c r="A892" s="109" t="s">
        <v>490</v>
      </c>
      <c r="B892" s="109" t="s">
        <v>1895</v>
      </c>
      <c r="C892" s="123" t="s">
        <v>402</v>
      </c>
      <c r="D892" s="109">
        <v>4</v>
      </c>
      <c r="E892" s="109" t="s">
        <v>1915</v>
      </c>
      <c r="F892" s="114"/>
      <c r="G892" s="109" t="s">
        <v>3423</v>
      </c>
      <c r="H892" s="109"/>
      <c r="I892" s="109" t="s">
        <v>3424</v>
      </c>
    </row>
    <row r="893" spans="1:9" ht="15.75" hidden="1" thickBot="1" x14ac:dyDescent="0.3">
      <c r="A893" s="112" t="s">
        <v>3461</v>
      </c>
      <c r="B893" s="112" t="s">
        <v>1953</v>
      </c>
      <c r="C893" s="123" t="s">
        <v>402</v>
      </c>
      <c r="D893" s="112">
        <v>4</v>
      </c>
      <c r="E893" s="112" t="s">
        <v>1915</v>
      </c>
      <c r="F893" s="113"/>
      <c r="G893" s="112" t="s">
        <v>3462</v>
      </c>
      <c r="H893" s="112" t="s">
        <v>58</v>
      </c>
      <c r="I893" s="113" t="s">
        <v>3462</v>
      </c>
    </row>
    <row r="894" spans="1:9" ht="15.75" hidden="1" thickBot="1" x14ac:dyDescent="0.3">
      <c r="A894" s="111" t="s">
        <v>3463</v>
      </c>
      <c r="B894" s="109" t="s">
        <v>1890</v>
      </c>
      <c r="C894" s="125" t="s">
        <v>333</v>
      </c>
      <c r="D894" s="109">
        <v>5</v>
      </c>
      <c r="E894" s="109"/>
      <c r="F894" s="109"/>
      <c r="G894" s="109"/>
      <c r="H894" s="109" t="s">
        <v>3464</v>
      </c>
      <c r="I894" s="109"/>
    </row>
    <row r="895" spans="1:9" ht="15.75" hidden="1" thickBot="1" x14ac:dyDescent="0.3">
      <c r="A895" s="111" t="s">
        <v>3465</v>
      </c>
      <c r="B895" s="112" t="s">
        <v>1890</v>
      </c>
      <c r="C895" s="125" t="s">
        <v>333</v>
      </c>
      <c r="D895" s="112">
        <v>5</v>
      </c>
      <c r="E895" s="112"/>
      <c r="F895" s="113"/>
      <c r="G895" s="112"/>
      <c r="H895" s="112" t="s">
        <v>3466</v>
      </c>
      <c r="I895" s="113"/>
    </row>
    <row r="896" spans="1:9" ht="15.75" hidden="1" thickBot="1" x14ac:dyDescent="0.3">
      <c r="A896" s="111" t="s">
        <v>3467</v>
      </c>
      <c r="B896" s="109" t="s">
        <v>1890</v>
      </c>
      <c r="C896" s="125" t="s">
        <v>333</v>
      </c>
      <c r="D896" s="109">
        <v>5</v>
      </c>
      <c r="E896" s="109"/>
      <c r="F896" s="109"/>
      <c r="G896" s="109"/>
      <c r="H896" s="109" t="s">
        <v>3468</v>
      </c>
      <c r="I896" s="109"/>
    </row>
    <row r="897" spans="1:9" ht="15.75" hidden="1" thickBot="1" x14ac:dyDescent="0.3">
      <c r="A897" s="111" t="s">
        <v>3469</v>
      </c>
      <c r="B897" s="112" t="s">
        <v>1890</v>
      </c>
      <c r="C897" s="125" t="s">
        <v>333</v>
      </c>
      <c r="D897" s="112">
        <v>5</v>
      </c>
      <c r="E897" s="112"/>
      <c r="F897" s="113"/>
      <c r="G897" s="112"/>
      <c r="H897" s="112" t="s">
        <v>3470</v>
      </c>
      <c r="I897" s="113"/>
    </row>
    <row r="898" spans="1:9" ht="15.75" hidden="1" thickBot="1" x14ac:dyDescent="0.3">
      <c r="A898" s="111" t="s">
        <v>3471</v>
      </c>
      <c r="B898" s="109" t="s">
        <v>1890</v>
      </c>
      <c r="C898" s="125" t="s">
        <v>333</v>
      </c>
      <c r="D898" s="109">
        <v>5</v>
      </c>
      <c r="E898" s="109"/>
      <c r="F898" s="109"/>
      <c r="G898" s="109"/>
      <c r="H898" s="109"/>
      <c r="I898" s="109"/>
    </row>
    <row r="899" spans="1:9" ht="15.75" hidden="1" thickBot="1" x14ac:dyDescent="0.3">
      <c r="A899" s="111" t="s">
        <v>3472</v>
      </c>
      <c r="B899" s="112" t="s">
        <v>1890</v>
      </c>
      <c r="C899" s="125" t="s">
        <v>333</v>
      </c>
      <c r="D899" s="112">
        <v>5</v>
      </c>
      <c r="E899" s="112"/>
      <c r="F899" s="113"/>
      <c r="G899" s="112"/>
      <c r="H899" s="112" t="s">
        <v>3473</v>
      </c>
      <c r="I899" s="113"/>
    </row>
    <row r="900" spans="1:9" ht="15.75" hidden="1" thickBot="1" x14ac:dyDescent="0.3">
      <c r="A900" s="111" t="s">
        <v>3474</v>
      </c>
      <c r="B900" s="109" t="s">
        <v>1890</v>
      </c>
      <c r="C900" s="125" t="s">
        <v>333</v>
      </c>
      <c r="D900" s="109">
        <v>5</v>
      </c>
      <c r="E900" s="109"/>
      <c r="F900" s="109"/>
      <c r="G900" s="109"/>
      <c r="H900" s="109"/>
      <c r="I900" s="109"/>
    </row>
    <row r="901" spans="1:9" ht="15.75" hidden="1" thickBot="1" x14ac:dyDescent="0.3">
      <c r="A901" s="111" t="s">
        <v>3475</v>
      </c>
      <c r="B901" s="112" t="s">
        <v>1890</v>
      </c>
      <c r="C901" s="125" t="s">
        <v>333</v>
      </c>
      <c r="D901" s="112">
        <v>5</v>
      </c>
      <c r="E901" s="112"/>
      <c r="F901" s="113"/>
      <c r="G901" s="112"/>
      <c r="H901" s="112" t="s">
        <v>3476</v>
      </c>
      <c r="I901" s="113"/>
    </row>
    <row r="902" spans="1:9" ht="15.75" hidden="1" thickBot="1" x14ac:dyDescent="0.3">
      <c r="A902" s="111" t="s">
        <v>3477</v>
      </c>
      <c r="B902" s="109" t="s">
        <v>1890</v>
      </c>
      <c r="C902" s="125" t="s">
        <v>333</v>
      </c>
      <c r="D902" s="109">
        <v>5</v>
      </c>
      <c r="E902" s="109"/>
      <c r="F902" s="109"/>
      <c r="G902" s="109"/>
      <c r="H902" s="109"/>
      <c r="I902" s="109"/>
    </row>
    <row r="903" spans="1:9" ht="15.75" hidden="1" thickBot="1" x14ac:dyDescent="0.3">
      <c r="A903" s="112" t="s">
        <v>3478</v>
      </c>
      <c r="B903" s="112" t="s">
        <v>1890</v>
      </c>
      <c r="C903" s="125" t="s">
        <v>333</v>
      </c>
      <c r="D903" s="112">
        <v>5</v>
      </c>
      <c r="E903" s="112"/>
      <c r="F903" s="113"/>
      <c r="G903" s="112"/>
      <c r="H903" s="112"/>
      <c r="I903" s="113" t="s">
        <v>3479</v>
      </c>
    </row>
    <row r="904" spans="1:9" ht="15.75" hidden="1" thickBot="1" x14ac:dyDescent="0.3">
      <c r="A904" s="111" t="s">
        <v>3480</v>
      </c>
      <c r="B904" s="109" t="s">
        <v>1890</v>
      </c>
      <c r="C904" s="125" t="s">
        <v>333</v>
      </c>
      <c r="D904" s="109">
        <v>5</v>
      </c>
      <c r="E904" s="109"/>
      <c r="F904" s="109"/>
      <c r="G904" s="109"/>
      <c r="H904" s="109" t="s">
        <v>3481</v>
      </c>
      <c r="I904" s="109"/>
    </row>
    <row r="905" spans="1:9" ht="15.75" hidden="1" thickBot="1" x14ac:dyDescent="0.3">
      <c r="A905" s="111" t="s">
        <v>3482</v>
      </c>
      <c r="B905" s="112" t="s">
        <v>1890</v>
      </c>
      <c r="C905" s="125" t="s">
        <v>333</v>
      </c>
      <c r="D905" s="112">
        <v>5</v>
      </c>
      <c r="E905" s="112"/>
      <c r="F905" s="113"/>
      <c r="G905" s="112"/>
      <c r="H905" s="112" t="s">
        <v>3483</v>
      </c>
      <c r="I905" s="113"/>
    </row>
    <row r="906" spans="1:9" ht="26.25" hidden="1" thickBot="1" x14ac:dyDescent="0.3">
      <c r="A906" s="109" t="s">
        <v>336</v>
      </c>
      <c r="B906" s="109" t="s">
        <v>1895</v>
      </c>
      <c r="C906" s="125" t="s">
        <v>333</v>
      </c>
      <c r="D906" s="109">
        <v>5</v>
      </c>
      <c r="E906" s="109"/>
      <c r="F906" s="114"/>
      <c r="G906" s="109" t="s">
        <v>3236</v>
      </c>
      <c r="H906" s="109" t="s">
        <v>3484</v>
      </c>
      <c r="I906" s="109" t="s">
        <v>3485</v>
      </c>
    </row>
    <row r="907" spans="1:9" ht="15.75" hidden="1" thickBot="1" x14ac:dyDescent="0.3">
      <c r="A907" s="111" t="s">
        <v>3486</v>
      </c>
      <c r="B907" s="112" t="s">
        <v>1890</v>
      </c>
      <c r="C907" s="125" t="s">
        <v>333</v>
      </c>
      <c r="D907" s="112">
        <v>5</v>
      </c>
      <c r="E907" s="112" t="s">
        <v>1915</v>
      </c>
      <c r="F907" s="113" t="s">
        <v>2682</v>
      </c>
      <c r="G907" s="112" t="s">
        <v>2683</v>
      </c>
      <c r="H907" s="112" t="s">
        <v>3487</v>
      </c>
      <c r="I907" s="113"/>
    </row>
    <row r="908" spans="1:9" ht="15.75" hidden="1" thickBot="1" x14ac:dyDescent="0.3">
      <c r="A908" s="111" t="s">
        <v>3488</v>
      </c>
      <c r="B908" s="109" t="s">
        <v>1895</v>
      </c>
      <c r="C908" s="125" t="s">
        <v>333</v>
      </c>
      <c r="D908" s="109">
        <v>5</v>
      </c>
      <c r="E908" s="109" t="s">
        <v>1915</v>
      </c>
      <c r="F908" s="114"/>
      <c r="G908" s="109" t="s">
        <v>2452</v>
      </c>
      <c r="H908" s="109" t="s">
        <v>58</v>
      </c>
      <c r="I908" s="109"/>
    </row>
    <row r="909" spans="1:9" ht="15.75" hidden="1" thickBot="1" x14ac:dyDescent="0.3">
      <c r="A909" s="112" t="s">
        <v>3489</v>
      </c>
      <c r="B909" s="112" t="s">
        <v>1895</v>
      </c>
      <c r="C909" s="125" t="s">
        <v>333</v>
      </c>
      <c r="D909" s="112">
        <v>5</v>
      </c>
      <c r="E909" s="112" t="s">
        <v>1915</v>
      </c>
      <c r="F909" s="113" t="s">
        <v>1978</v>
      </c>
      <c r="G909" s="112" t="s">
        <v>2454</v>
      </c>
      <c r="H909" s="112" t="s">
        <v>58</v>
      </c>
      <c r="I909" s="113" t="s">
        <v>3410</v>
      </c>
    </row>
    <row r="910" spans="1:9" ht="26.25" hidden="1" thickBot="1" x14ac:dyDescent="0.3">
      <c r="A910" s="111" t="s">
        <v>3490</v>
      </c>
      <c r="B910" s="109" t="s">
        <v>1895</v>
      </c>
      <c r="C910" s="125" t="s">
        <v>333</v>
      </c>
      <c r="D910" s="109">
        <v>5</v>
      </c>
      <c r="E910" s="109" t="s">
        <v>1915</v>
      </c>
      <c r="F910" s="114"/>
      <c r="G910" s="109" t="s">
        <v>2456</v>
      </c>
      <c r="H910" s="109" t="s">
        <v>58</v>
      </c>
      <c r="I910" s="109"/>
    </row>
    <row r="911" spans="1:9" ht="15.75" hidden="1" thickBot="1" x14ac:dyDescent="0.3">
      <c r="A911" s="111" t="s">
        <v>3491</v>
      </c>
      <c r="B911" s="112" t="s">
        <v>1895</v>
      </c>
      <c r="C911" s="125" t="s">
        <v>333</v>
      </c>
      <c r="D911" s="112">
        <v>5</v>
      </c>
      <c r="E911" s="112" t="s">
        <v>1915</v>
      </c>
      <c r="F911" s="113"/>
      <c r="G911" s="112" t="s">
        <v>2452</v>
      </c>
      <c r="H911" s="112" t="s">
        <v>58</v>
      </c>
      <c r="I911" s="113"/>
    </row>
    <row r="912" spans="1:9" ht="15.75" hidden="1" thickBot="1" x14ac:dyDescent="0.3">
      <c r="A912" s="111" t="s">
        <v>3492</v>
      </c>
      <c r="B912" s="109" t="s">
        <v>1895</v>
      </c>
      <c r="C912" s="125" t="s">
        <v>333</v>
      </c>
      <c r="D912" s="109">
        <v>5</v>
      </c>
      <c r="E912" s="109" t="s">
        <v>1915</v>
      </c>
      <c r="F912" s="114"/>
      <c r="G912" s="109" t="s">
        <v>2176</v>
      </c>
      <c r="H912" s="109" t="s">
        <v>3493</v>
      </c>
      <c r="I912" s="109"/>
    </row>
    <row r="913" spans="1:9" ht="15.75" hidden="1" thickBot="1" x14ac:dyDescent="0.3">
      <c r="A913" s="112" t="s">
        <v>334</v>
      </c>
      <c r="B913" s="112" t="s">
        <v>1895</v>
      </c>
      <c r="C913" s="125" t="s">
        <v>333</v>
      </c>
      <c r="D913" s="112">
        <v>5</v>
      </c>
      <c r="E913" s="112" t="s">
        <v>1915</v>
      </c>
      <c r="F913" s="113"/>
      <c r="G913" s="112" t="s">
        <v>2176</v>
      </c>
      <c r="H913" s="112" t="s">
        <v>3494</v>
      </c>
      <c r="I913" s="113" t="s">
        <v>3495</v>
      </c>
    </row>
    <row r="914" spans="1:9" ht="15.75" hidden="1" thickBot="1" x14ac:dyDescent="0.3">
      <c r="A914" s="109" t="s">
        <v>1747</v>
      </c>
      <c r="B914" s="109" t="s">
        <v>1895</v>
      </c>
      <c r="C914" s="125" t="s">
        <v>333</v>
      </c>
      <c r="D914" s="109">
        <v>5</v>
      </c>
      <c r="E914" s="109" t="s">
        <v>1915</v>
      </c>
      <c r="F914" s="109" t="s">
        <v>3496</v>
      </c>
      <c r="G914" s="109" t="s">
        <v>3497</v>
      </c>
      <c r="H914" s="109"/>
      <c r="I914" s="109" t="s">
        <v>3498</v>
      </c>
    </row>
    <row r="915" spans="1:9" ht="39" hidden="1" thickBot="1" x14ac:dyDescent="0.3">
      <c r="A915" s="112" t="s">
        <v>377</v>
      </c>
      <c r="B915" s="112" t="s">
        <v>1953</v>
      </c>
      <c r="C915" s="125" t="s">
        <v>333</v>
      </c>
      <c r="D915" s="112">
        <v>5</v>
      </c>
      <c r="E915" s="112" t="s">
        <v>1915</v>
      </c>
      <c r="F915" s="113" t="s">
        <v>3499</v>
      </c>
      <c r="G915" s="112" t="s">
        <v>3500</v>
      </c>
      <c r="H915" s="112"/>
      <c r="I915" s="113" t="s">
        <v>3501</v>
      </c>
    </row>
    <row r="916" spans="1:9" ht="15.75" hidden="1" thickBot="1" x14ac:dyDescent="0.3">
      <c r="A916" s="109" t="s">
        <v>351</v>
      </c>
      <c r="B916" s="109" t="s">
        <v>1895</v>
      </c>
      <c r="C916" s="125" t="s">
        <v>333</v>
      </c>
      <c r="D916" s="109">
        <v>5</v>
      </c>
      <c r="E916" s="109" t="s">
        <v>1915</v>
      </c>
      <c r="F916" s="109"/>
      <c r="G916" s="109" t="s">
        <v>1950</v>
      </c>
      <c r="H916" s="109"/>
      <c r="I916" s="109" t="s">
        <v>3357</v>
      </c>
    </row>
    <row r="917" spans="1:9" ht="15.75" hidden="1" thickBot="1" x14ac:dyDescent="0.3">
      <c r="A917" s="112" t="s">
        <v>340</v>
      </c>
      <c r="B917" s="112" t="s">
        <v>1895</v>
      </c>
      <c r="C917" s="125" t="s">
        <v>333</v>
      </c>
      <c r="D917" s="112">
        <v>5</v>
      </c>
      <c r="E917" s="112" t="s">
        <v>1915</v>
      </c>
      <c r="F917" s="113"/>
      <c r="G917" s="112" t="s">
        <v>2193</v>
      </c>
      <c r="H917" s="112" t="s">
        <v>3502</v>
      </c>
      <c r="I917" s="113" t="s">
        <v>3503</v>
      </c>
    </row>
    <row r="918" spans="1:9" ht="15.75" hidden="1" thickBot="1" x14ac:dyDescent="0.3">
      <c r="A918" s="111" t="s">
        <v>3504</v>
      </c>
      <c r="B918" s="109" t="s">
        <v>1895</v>
      </c>
      <c r="C918" s="125" t="s">
        <v>333</v>
      </c>
      <c r="D918" s="109">
        <v>5</v>
      </c>
      <c r="E918" s="109" t="s">
        <v>1915</v>
      </c>
      <c r="F918" s="114"/>
      <c r="G918" s="109" t="s">
        <v>2201</v>
      </c>
      <c r="H918" s="109" t="s">
        <v>3505</v>
      </c>
      <c r="I918" s="109"/>
    </row>
    <row r="919" spans="1:9" ht="15.75" hidden="1" thickBot="1" x14ac:dyDescent="0.3">
      <c r="A919" s="111" t="s">
        <v>3506</v>
      </c>
      <c r="B919" s="112" t="s">
        <v>1895</v>
      </c>
      <c r="C919" s="125" t="s">
        <v>333</v>
      </c>
      <c r="D919" s="112">
        <v>5</v>
      </c>
      <c r="E919" s="112" t="s">
        <v>1915</v>
      </c>
      <c r="F919" s="113"/>
      <c r="G919" s="112" t="s">
        <v>2201</v>
      </c>
      <c r="H919" s="112" t="s">
        <v>3505</v>
      </c>
      <c r="I919" s="113"/>
    </row>
    <row r="920" spans="1:9" ht="15.75" hidden="1" thickBot="1" x14ac:dyDescent="0.3">
      <c r="A920" s="109" t="s">
        <v>355</v>
      </c>
      <c r="B920" s="109" t="s">
        <v>1895</v>
      </c>
      <c r="C920" s="125" t="s">
        <v>333</v>
      </c>
      <c r="D920" s="109">
        <v>5</v>
      </c>
      <c r="E920" s="109" t="s">
        <v>1915</v>
      </c>
      <c r="F920" s="114"/>
      <c r="G920" s="109" t="s">
        <v>2201</v>
      </c>
      <c r="H920" s="109" t="s">
        <v>3505</v>
      </c>
      <c r="I920" s="109" t="s">
        <v>3424</v>
      </c>
    </row>
    <row r="921" spans="1:9" ht="26.25" hidden="1" thickBot="1" x14ac:dyDescent="0.3">
      <c r="A921" s="112" t="s">
        <v>1833</v>
      </c>
      <c r="B921" s="112" t="s">
        <v>1895</v>
      </c>
      <c r="C921" s="125" t="s">
        <v>333</v>
      </c>
      <c r="D921" s="112">
        <v>5</v>
      </c>
      <c r="E921" s="112"/>
      <c r="F921" s="113"/>
      <c r="G921" s="112" t="s">
        <v>2759</v>
      </c>
      <c r="H921" s="112" t="s">
        <v>3507</v>
      </c>
      <c r="I921" s="113" t="s">
        <v>3508</v>
      </c>
    </row>
    <row r="922" spans="1:9" ht="26.25" hidden="1" thickBot="1" x14ac:dyDescent="0.3">
      <c r="A922" s="109" t="s">
        <v>1830</v>
      </c>
      <c r="B922" s="109" t="s">
        <v>1953</v>
      </c>
      <c r="C922" s="125" t="s">
        <v>333</v>
      </c>
      <c r="D922" s="109">
        <v>5</v>
      </c>
      <c r="E922" s="109" t="s">
        <v>1915</v>
      </c>
      <c r="F922" s="109" t="s">
        <v>1954</v>
      </c>
      <c r="G922" s="109" t="s">
        <v>3509</v>
      </c>
      <c r="H922" s="114" t="s">
        <v>3510</v>
      </c>
      <c r="I922" s="109" t="s">
        <v>3511</v>
      </c>
    </row>
    <row r="923" spans="1:9" ht="15.75" hidden="1" thickBot="1" x14ac:dyDescent="0.3">
      <c r="A923" s="112" t="s">
        <v>3512</v>
      </c>
      <c r="B923" s="112" t="s">
        <v>1953</v>
      </c>
      <c r="C923" s="125" t="s">
        <v>333</v>
      </c>
      <c r="D923" s="112">
        <v>5</v>
      </c>
      <c r="E923" s="112" t="s">
        <v>1915</v>
      </c>
      <c r="F923" s="113"/>
      <c r="G923" s="112"/>
      <c r="H923" s="113"/>
      <c r="I923" s="113" t="s">
        <v>3513</v>
      </c>
    </row>
    <row r="924" spans="1:9" ht="15.75" hidden="1" thickBot="1" x14ac:dyDescent="0.3">
      <c r="A924" s="111" t="s">
        <v>3514</v>
      </c>
      <c r="B924" s="109" t="s">
        <v>1953</v>
      </c>
      <c r="C924" s="125" t="s">
        <v>333</v>
      </c>
      <c r="D924" s="109">
        <v>5</v>
      </c>
      <c r="E924" s="109" t="s">
        <v>1915</v>
      </c>
      <c r="F924" s="109"/>
      <c r="G924" s="109"/>
      <c r="H924" s="114"/>
      <c r="I924" s="109"/>
    </row>
    <row r="925" spans="1:9" ht="15.75" hidden="1" thickBot="1" x14ac:dyDescent="0.3">
      <c r="A925" s="111" t="s">
        <v>3515</v>
      </c>
      <c r="B925" s="112" t="s">
        <v>1953</v>
      </c>
      <c r="C925" s="125" t="s">
        <v>333</v>
      </c>
      <c r="D925" s="112">
        <v>5</v>
      </c>
      <c r="E925" s="112" t="s">
        <v>1915</v>
      </c>
      <c r="F925" s="113"/>
      <c r="G925" s="112"/>
      <c r="H925" s="113"/>
      <c r="I925" s="113"/>
    </row>
    <row r="926" spans="1:9" ht="15.75" hidden="1" thickBot="1" x14ac:dyDescent="0.3">
      <c r="A926" s="111" t="s">
        <v>3516</v>
      </c>
      <c r="B926" s="109" t="s">
        <v>1953</v>
      </c>
      <c r="C926" s="125" t="s">
        <v>333</v>
      </c>
      <c r="D926" s="109">
        <v>5</v>
      </c>
      <c r="E926" s="109" t="s">
        <v>1915</v>
      </c>
      <c r="F926" s="109"/>
      <c r="G926" s="109"/>
      <c r="H926" s="114"/>
      <c r="I926" s="109"/>
    </row>
    <row r="927" spans="1:9" ht="15.75" hidden="1" thickBot="1" x14ac:dyDescent="0.3">
      <c r="A927" s="111" t="s">
        <v>3517</v>
      </c>
      <c r="B927" s="112" t="s">
        <v>1953</v>
      </c>
      <c r="C927" s="125" t="s">
        <v>333</v>
      </c>
      <c r="D927" s="112">
        <v>5</v>
      </c>
      <c r="E927" s="112" t="s">
        <v>1915</v>
      </c>
      <c r="F927" s="113"/>
      <c r="G927" s="112"/>
      <c r="H927" s="113"/>
      <c r="I927" s="113"/>
    </row>
    <row r="928" spans="1:9" ht="15.75" hidden="1" thickBot="1" x14ac:dyDescent="0.3">
      <c r="A928" s="111" t="s">
        <v>3518</v>
      </c>
      <c r="B928" s="109" t="s">
        <v>1953</v>
      </c>
      <c r="C928" s="125" t="s">
        <v>333</v>
      </c>
      <c r="D928" s="109">
        <v>5</v>
      </c>
      <c r="E928" s="109" t="s">
        <v>1915</v>
      </c>
      <c r="F928" s="109" t="s">
        <v>3519</v>
      </c>
      <c r="G928" s="109" t="s">
        <v>2041</v>
      </c>
      <c r="H928" s="109" t="s">
        <v>58</v>
      </c>
      <c r="I928" s="109"/>
    </row>
    <row r="929" spans="1:9" ht="15.75" hidden="1" thickBot="1" x14ac:dyDescent="0.3">
      <c r="A929" s="112" t="s">
        <v>3520</v>
      </c>
      <c r="B929" s="112" t="s">
        <v>1890</v>
      </c>
      <c r="C929" s="125" t="s">
        <v>333</v>
      </c>
      <c r="D929" s="112">
        <v>5</v>
      </c>
      <c r="E929" s="112" t="s">
        <v>1915</v>
      </c>
      <c r="F929" s="113" t="s">
        <v>3521</v>
      </c>
      <c r="G929" s="112" t="s">
        <v>3292</v>
      </c>
      <c r="H929" s="112" t="s">
        <v>3522</v>
      </c>
      <c r="I929" s="113" t="s">
        <v>3523</v>
      </c>
    </row>
    <row r="930" spans="1:9" ht="15.75" hidden="1" thickBot="1" x14ac:dyDescent="0.3">
      <c r="A930" s="109" t="s">
        <v>344</v>
      </c>
      <c r="B930" s="109" t="s">
        <v>1895</v>
      </c>
      <c r="C930" s="125" t="s">
        <v>333</v>
      </c>
      <c r="D930" s="109">
        <v>5</v>
      </c>
      <c r="E930" s="109" t="s">
        <v>3524</v>
      </c>
      <c r="F930" s="114"/>
      <c r="G930" s="109" t="s">
        <v>3525</v>
      </c>
      <c r="H930" s="109" t="s">
        <v>3526</v>
      </c>
      <c r="I930" s="109" t="s">
        <v>3525</v>
      </c>
    </row>
    <row r="931" spans="1:9" ht="15.75" hidden="1" thickBot="1" x14ac:dyDescent="0.3">
      <c r="A931" s="111" t="s">
        <v>3527</v>
      </c>
      <c r="B931" s="112" t="s">
        <v>1895</v>
      </c>
      <c r="C931" s="125" t="s">
        <v>333</v>
      </c>
      <c r="D931" s="112">
        <v>5</v>
      </c>
      <c r="E931" s="112"/>
      <c r="F931" s="113"/>
      <c r="G931" s="112" t="s">
        <v>2041</v>
      </c>
      <c r="H931" s="112" t="s">
        <v>58</v>
      </c>
      <c r="I931" s="113"/>
    </row>
    <row r="932" spans="1:9" ht="15.75" hidden="1" thickBot="1" x14ac:dyDescent="0.3">
      <c r="A932" s="111" t="s">
        <v>3528</v>
      </c>
      <c r="B932" s="109" t="s">
        <v>1953</v>
      </c>
      <c r="C932" s="125" t="s">
        <v>333</v>
      </c>
      <c r="D932" s="109">
        <v>5</v>
      </c>
      <c r="E932" s="109" t="s">
        <v>1915</v>
      </c>
      <c r="F932" s="109" t="s">
        <v>3529</v>
      </c>
      <c r="G932" s="109" t="s">
        <v>2041</v>
      </c>
      <c r="H932" s="109" t="s">
        <v>58</v>
      </c>
      <c r="I932" s="109"/>
    </row>
    <row r="933" spans="1:9" ht="26.25" hidden="1" thickBot="1" x14ac:dyDescent="0.3">
      <c r="A933" s="111" t="s">
        <v>374</v>
      </c>
      <c r="B933" s="112" t="s">
        <v>1953</v>
      </c>
      <c r="C933" s="125" t="s">
        <v>333</v>
      </c>
      <c r="D933" s="112">
        <v>5</v>
      </c>
      <c r="E933" s="112" t="s">
        <v>1915</v>
      </c>
      <c r="F933" s="113" t="s">
        <v>3530</v>
      </c>
      <c r="G933" s="112" t="s">
        <v>3531</v>
      </c>
      <c r="H933" s="112"/>
      <c r="I933" s="113"/>
    </row>
    <row r="934" spans="1:9" ht="15.75" hidden="1" thickBot="1" x14ac:dyDescent="0.3">
      <c r="A934" s="109" t="s">
        <v>3532</v>
      </c>
      <c r="B934" s="109" t="s">
        <v>1953</v>
      </c>
      <c r="C934" s="125" t="s">
        <v>333</v>
      </c>
      <c r="D934" s="109">
        <v>5</v>
      </c>
      <c r="E934" s="109" t="s">
        <v>1915</v>
      </c>
      <c r="F934" s="109"/>
      <c r="G934" s="109" t="s">
        <v>2842</v>
      </c>
      <c r="H934" s="114" t="s">
        <v>58</v>
      </c>
      <c r="I934" s="109" t="s">
        <v>3235</v>
      </c>
    </row>
    <row r="935" spans="1:9" ht="15.75" hidden="1" thickBot="1" x14ac:dyDescent="0.3">
      <c r="A935" s="111" t="s">
        <v>347</v>
      </c>
      <c r="B935" s="112" t="s">
        <v>1953</v>
      </c>
      <c r="C935" s="125" t="s">
        <v>333</v>
      </c>
      <c r="D935" s="112">
        <v>5</v>
      </c>
      <c r="E935" s="112"/>
      <c r="F935" s="113" t="s">
        <v>3533</v>
      </c>
      <c r="G935" s="112" t="s">
        <v>2258</v>
      </c>
      <c r="H935" s="113" t="s">
        <v>3534</v>
      </c>
      <c r="I935" s="113"/>
    </row>
    <row r="936" spans="1:9" ht="15.75" hidden="1" thickBot="1" x14ac:dyDescent="0.3">
      <c r="A936" s="109" t="s">
        <v>3535</v>
      </c>
      <c r="B936" s="109" t="s">
        <v>1895</v>
      </c>
      <c r="C936" s="125" t="s">
        <v>333</v>
      </c>
      <c r="D936" s="109">
        <v>5</v>
      </c>
      <c r="E936" s="109"/>
      <c r="F936" s="114"/>
      <c r="G936" s="109" t="s">
        <v>100</v>
      </c>
      <c r="H936" s="109"/>
      <c r="I936" s="109" t="s">
        <v>3536</v>
      </c>
    </row>
    <row r="937" spans="1:9" ht="26.25" hidden="1" thickBot="1" x14ac:dyDescent="0.3">
      <c r="A937" s="112" t="s">
        <v>3537</v>
      </c>
      <c r="B937" s="112" t="s">
        <v>1895</v>
      </c>
      <c r="C937" s="125" t="s">
        <v>333</v>
      </c>
      <c r="D937" s="112">
        <v>5</v>
      </c>
      <c r="E937" s="112"/>
      <c r="F937" s="113"/>
      <c r="G937" s="112" t="s">
        <v>100</v>
      </c>
      <c r="H937" s="112"/>
      <c r="I937" s="113" t="s">
        <v>3538</v>
      </c>
    </row>
    <row r="938" spans="1:9" ht="15.75" hidden="1" thickBot="1" x14ac:dyDescent="0.3">
      <c r="A938" s="109" t="s">
        <v>3539</v>
      </c>
      <c r="B938" s="109" t="s">
        <v>1895</v>
      </c>
      <c r="C938" s="125" t="s">
        <v>333</v>
      </c>
      <c r="D938" s="109">
        <v>5</v>
      </c>
      <c r="E938" s="109" t="s">
        <v>1915</v>
      </c>
      <c r="F938" s="109" t="s">
        <v>1978</v>
      </c>
      <c r="G938" s="109" t="s">
        <v>1965</v>
      </c>
      <c r="H938" s="109"/>
      <c r="I938" s="109" t="s">
        <v>3327</v>
      </c>
    </row>
    <row r="939" spans="1:9" ht="15.75" hidden="1" thickBot="1" x14ac:dyDescent="0.3">
      <c r="A939" s="111" t="s">
        <v>3540</v>
      </c>
      <c r="B939" s="112" t="s">
        <v>1953</v>
      </c>
      <c r="C939" s="125" t="s">
        <v>333</v>
      </c>
      <c r="D939" s="112">
        <v>5</v>
      </c>
      <c r="E939" s="112" t="s">
        <v>1915</v>
      </c>
      <c r="F939" s="113" t="s">
        <v>3541</v>
      </c>
      <c r="G939" s="112" t="s">
        <v>2308</v>
      </c>
      <c r="H939" s="113" t="s">
        <v>3542</v>
      </c>
      <c r="I939" s="113"/>
    </row>
    <row r="940" spans="1:9" ht="15.75" hidden="1" thickBot="1" x14ac:dyDescent="0.3">
      <c r="A940" s="111" t="s">
        <v>3543</v>
      </c>
      <c r="B940" s="109" t="s">
        <v>1953</v>
      </c>
      <c r="C940" s="125" t="s">
        <v>333</v>
      </c>
      <c r="D940" s="109">
        <v>5</v>
      </c>
      <c r="E940" s="109" t="s">
        <v>1915</v>
      </c>
      <c r="F940" s="109" t="s">
        <v>3541</v>
      </c>
      <c r="G940" s="109"/>
      <c r="H940" s="114"/>
      <c r="I940" s="109"/>
    </row>
    <row r="941" spans="1:9" ht="15.75" hidden="1" thickBot="1" x14ac:dyDescent="0.3">
      <c r="A941" s="111" t="s">
        <v>3544</v>
      </c>
      <c r="B941" s="112" t="s">
        <v>1953</v>
      </c>
      <c r="C941" s="125" t="s">
        <v>333</v>
      </c>
      <c r="D941" s="112">
        <v>5</v>
      </c>
      <c r="E941" s="112" t="s">
        <v>1915</v>
      </c>
      <c r="F941" s="113" t="s">
        <v>3541</v>
      </c>
      <c r="G941" s="112"/>
      <c r="H941" s="113"/>
      <c r="I941" s="113"/>
    </row>
    <row r="942" spans="1:9" ht="15.75" hidden="1" thickBot="1" x14ac:dyDescent="0.3">
      <c r="A942" s="111" t="s">
        <v>3545</v>
      </c>
      <c r="B942" s="109" t="s">
        <v>1953</v>
      </c>
      <c r="C942" s="125" t="s">
        <v>333</v>
      </c>
      <c r="D942" s="109">
        <v>5</v>
      </c>
      <c r="E942" s="109" t="s">
        <v>1915</v>
      </c>
      <c r="F942" s="109" t="s">
        <v>3541</v>
      </c>
      <c r="G942" s="109"/>
      <c r="H942" s="114"/>
      <c r="I942" s="109"/>
    </row>
    <row r="943" spans="1:9" ht="15.75" hidden="1" thickBot="1" x14ac:dyDescent="0.3">
      <c r="A943" s="111" t="s">
        <v>3546</v>
      </c>
      <c r="B943" s="112" t="s">
        <v>1953</v>
      </c>
      <c r="C943" s="125" t="s">
        <v>333</v>
      </c>
      <c r="D943" s="112">
        <v>5</v>
      </c>
      <c r="E943" s="112" t="s">
        <v>1915</v>
      </c>
      <c r="F943" s="113" t="s">
        <v>3541</v>
      </c>
      <c r="G943" s="112"/>
      <c r="H943" s="113"/>
      <c r="I943" s="113"/>
    </row>
    <row r="944" spans="1:9" ht="15.75" hidden="1" thickBot="1" x14ac:dyDescent="0.3">
      <c r="A944" s="111" t="s">
        <v>3547</v>
      </c>
      <c r="B944" s="109" t="s">
        <v>1953</v>
      </c>
      <c r="C944" s="125" t="s">
        <v>333</v>
      </c>
      <c r="D944" s="109">
        <v>5</v>
      </c>
      <c r="E944" s="109" t="s">
        <v>1915</v>
      </c>
      <c r="F944" s="109" t="s">
        <v>3541</v>
      </c>
      <c r="G944" s="109"/>
      <c r="H944" s="114"/>
      <c r="I944" s="109"/>
    </row>
    <row r="945" spans="1:9" ht="15.75" hidden="1" thickBot="1" x14ac:dyDescent="0.3">
      <c r="A945" s="111" t="s">
        <v>3548</v>
      </c>
      <c r="B945" s="112" t="s">
        <v>1895</v>
      </c>
      <c r="C945" s="125" t="s">
        <v>333</v>
      </c>
      <c r="D945" s="112">
        <v>5</v>
      </c>
      <c r="E945" s="112"/>
      <c r="F945" s="113"/>
      <c r="G945" s="112" t="s">
        <v>2313</v>
      </c>
      <c r="H945" s="112" t="s">
        <v>3549</v>
      </c>
      <c r="I945" s="113"/>
    </row>
    <row r="946" spans="1:9" ht="15.75" hidden="1" thickBot="1" x14ac:dyDescent="0.3">
      <c r="A946" s="111" t="s">
        <v>3550</v>
      </c>
      <c r="B946" s="109" t="s">
        <v>1895</v>
      </c>
      <c r="C946" s="125" t="s">
        <v>333</v>
      </c>
      <c r="D946" s="109">
        <v>5</v>
      </c>
      <c r="E946" s="109" t="s">
        <v>1915</v>
      </c>
      <c r="F946" s="109" t="s">
        <v>2046</v>
      </c>
      <c r="G946" s="109" t="s">
        <v>2319</v>
      </c>
      <c r="H946" s="109" t="s">
        <v>3551</v>
      </c>
      <c r="I946" s="109"/>
    </row>
    <row r="947" spans="1:9" ht="15.75" hidden="1" thickBot="1" x14ac:dyDescent="0.3">
      <c r="A947" s="111" t="s">
        <v>3552</v>
      </c>
      <c r="B947" s="112" t="s">
        <v>1895</v>
      </c>
      <c r="C947" s="125" t="s">
        <v>333</v>
      </c>
      <c r="D947" s="112">
        <v>5</v>
      </c>
      <c r="E947" s="112" t="s">
        <v>1915</v>
      </c>
      <c r="F947" s="113"/>
      <c r="G947" s="112" t="s">
        <v>2319</v>
      </c>
      <c r="H947" s="112" t="s">
        <v>3553</v>
      </c>
      <c r="I947" s="113"/>
    </row>
    <row r="948" spans="1:9" ht="15.75" hidden="1" thickBot="1" x14ac:dyDescent="0.3">
      <c r="A948" s="109" t="s">
        <v>3554</v>
      </c>
      <c r="B948" s="109" t="s">
        <v>1895</v>
      </c>
      <c r="C948" s="125" t="s">
        <v>333</v>
      </c>
      <c r="D948" s="109">
        <v>5</v>
      </c>
      <c r="E948" s="109" t="s">
        <v>1915</v>
      </c>
      <c r="F948" s="114"/>
      <c r="G948" s="109" t="s">
        <v>2319</v>
      </c>
      <c r="H948" s="109" t="s">
        <v>3555</v>
      </c>
      <c r="I948" s="109" t="s">
        <v>3556</v>
      </c>
    </row>
    <row r="949" spans="1:9" ht="15.75" hidden="1" thickBot="1" x14ac:dyDescent="0.3">
      <c r="A949" s="112" t="s">
        <v>3557</v>
      </c>
      <c r="B949" s="112" t="s">
        <v>1895</v>
      </c>
      <c r="C949" s="125" t="s">
        <v>333</v>
      </c>
      <c r="D949" s="112">
        <v>5</v>
      </c>
      <c r="E949" s="112" t="s">
        <v>1915</v>
      </c>
      <c r="F949" s="113"/>
      <c r="G949" s="112" t="s">
        <v>2319</v>
      </c>
      <c r="H949" s="112" t="s">
        <v>3558</v>
      </c>
      <c r="I949" s="113" t="s">
        <v>3559</v>
      </c>
    </row>
    <row r="950" spans="1:9" ht="15.75" hidden="1" thickBot="1" x14ac:dyDescent="0.3">
      <c r="A950" s="109" t="s">
        <v>3560</v>
      </c>
      <c r="B950" s="109" t="s">
        <v>1953</v>
      </c>
      <c r="C950" s="125" t="s">
        <v>333</v>
      </c>
      <c r="D950" s="109">
        <v>5</v>
      </c>
      <c r="E950" s="109" t="s">
        <v>1915</v>
      </c>
      <c r="F950" s="109" t="s">
        <v>1954</v>
      </c>
      <c r="G950" s="109" t="s">
        <v>2332</v>
      </c>
      <c r="H950" s="114" t="s">
        <v>3561</v>
      </c>
      <c r="I950" s="109" t="s">
        <v>2995</v>
      </c>
    </row>
    <row r="951" spans="1:9" ht="15.75" hidden="1" thickBot="1" x14ac:dyDescent="0.3">
      <c r="A951" s="111" t="s">
        <v>3562</v>
      </c>
      <c r="B951" s="112" t="s">
        <v>1953</v>
      </c>
      <c r="C951" s="125" t="s">
        <v>333</v>
      </c>
      <c r="D951" s="112">
        <v>5</v>
      </c>
      <c r="E951" s="112" t="s">
        <v>1915</v>
      </c>
      <c r="F951" s="113"/>
      <c r="G951" s="112"/>
      <c r="H951" s="113"/>
      <c r="I951" s="113"/>
    </row>
    <row r="952" spans="1:9" ht="15.75" hidden="1" thickBot="1" x14ac:dyDescent="0.3">
      <c r="A952" s="111" t="s">
        <v>3563</v>
      </c>
      <c r="B952" s="109" t="s">
        <v>1953</v>
      </c>
      <c r="C952" s="125" t="s">
        <v>333</v>
      </c>
      <c r="D952" s="109">
        <v>5</v>
      </c>
      <c r="E952" s="109" t="s">
        <v>1915</v>
      </c>
      <c r="F952" s="109"/>
      <c r="G952" s="109"/>
      <c r="H952" s="114"/>
      <c r="I952" s="109"/>
    </row>
    <row r="953" spans="1:9" ht="15.75" hidden="1" thickBot="1" x14ac:dyDescent="0.3">
      <c r="A953" s="111" t="s">
        <v>3564</v>
      </c>
      <c r="B953" s="112" t="s">
        <v>1953</v>
      </c>
      <c r="C953" s="125" t="s">
        <v>333</v>
      </c>
      <c r="D953" s="112">
        <v>5</v>
      </c>
      <c r="E953" s="112" t="s">
        <v>1915</v>
      </c>
      <c r="F953" s="113"/>
      <c r="G953" s="112"/>
      <c r="H953" s="113"/>
      <c r="I953" s="113"/>
    </row>
    <row r="954" spans="1:9" ht="15.75" hidden="1" thickBot="1" x14ac:dyDescent="0.3">
      <c r="A954" s="111" t="s">
        <v>3565</v>
      </c>
      <c r="B954" s="109" t="s">
        <v>1953</v>
      </c>
      <c r="C954" s="125" t="s">
        <v>333</v>
      </c>
      <c r="D954" s="109">
        <v>5</v>
      </c>
      <c r="E954" s="109" t="s">
        <v>1915</v>
      </c>
      <c r="F954" s="109"/>
      <c r="G954" s="109"/>
      <c r="H954" s="114"/>
      <c r="I954" s="109"/>
    </row>
    <row r="955" spans="1:9" ht="15.75" hidden="1" thickBot="1" x14ac:dyDescent="0.3">
      <c r="A955" s="111" t="s">
        <v>3566</v>
      </c>
      <c r="B955" s="112" t="s">
        <v>1953</v>
      </c>
      <c r="C955" s="125" t="s">
        <v>333</v>
      </c>
      <c r="D955" s="112">
        <v>5</v>
      </c>
      <c r="E955" s="112" t="s">
        <v>1915</v>
      </c>
      <c r="F955" s="113"/>
      <c r="G955" s="112"/>
      <c r="H955" s="113"/>
      <c r="I955" s="113"/>
    </row>
    <row r="956" spans="1:9" ht="15.75" hidden="1" thickBot="1" x14ac:dyDescent="0.3">
      <c r="A956" s="109" t="s">
        <v>339</v>
      </c>
      <c r="B956" s="109" t="s">
        <v>1953</v>
      </c>
      <c r="C956" s="125" t="s">
        <v>333</v>
      </c>
      <c r="D956" s="109">
        <v>5</v>
      </c>
      <c r="E956" s="109" t="s">
        <v>1915</v>
      </c>
      <c r="F956" s="109" t="s">
        <v>3567</v>
      </c>
      <c r="G956" s="109" t="s">
        <v>3568</v>
      </c>
      <c r="H956" s="109" t="s">
        <v>58</v>
      </c>
      <c r="I956" s="109" t="s">
        <v>3569</v>
      </c>
    </row>
    <row r="957" spans="1:9" ht="39" hidden="1" thickBot="1" x14ac:dyDescent="0.3">
      <c r="A957" s="111" t="s">
        <v>3570</v>
      </c>
      <c r="B957" s="112" t="s">
        <v>1953</v>
      </c>
      <c r="C957" s="125" t="s">
        <v>333</v>
      </c>
      <c r="D957" s="112">
        <v>5</v>
      </c>
      <c r="E957" s="112" t="s">
        <v>1915</v>
      </c>
      <c r="F957" s="113" t="s">
        <v>3571</v>
      </c>
      <c r="G957" s="112" t="s">
        <v>3500</v>
      </c>
      <c r="H957" s="112"/>
      <c r="I957" s="113"/>
    </row>
    <row r="958" spans="1:9" ht="15.75" hidden="1" thickBot="1" x14ac:dyDescent="0.3">
      <c r="A958" s="111" t="s">
        <v>3572</v>
      </c>
      <c r="B958" s="109" t="s">
        <v>1890</v>
      </c>
      <c r="C958" s="125" t="s">
        <v>333</v>
      </c>
      <c r="D958" s="109">
        <v>5</v>
      </c>
      <c r="E958" s="109"/>
      <c r="F958" s="109" t="s">
        <v>2682</v>
      </c>
      <c r="G958" s="109" t="s">
        <v>3568</v>
      </c>
      <c r="H958" s="109" t="s">
        <v>58</v>
      </c>
      <c r="I958" s="109"/>
    </row>
    <row r="959" spans="1:9" ht="26.25" hidden="1" thickBot="1" x14ac:dyDescent="0.3">
      <c r="A959" s="112" t="s">
        <v>3573</v>
      </c>
      <c r="B959" s="112" t="s">
        <v>1953</v>
      </c>
      <c r="C959" s="125" t="s">
        <v>333</v>
      </c>
      <c r="D959" s="112">
        <v>5</v>
      </c>
      <c r="E959" s="112" t="s">
        <v>1915</v>
      </c>
      <c r="F959" s="113" t="s">
        <v>3132</v>
      </c>
      <c r="G959" s="112" t="s">
        <v>3574</v>
      </c>
      <c r="H959" s="113" t="s">
        <v>58</v>
      </c>
      <c r="I959" s="113" t="s">
        <v>3575</v>
      </c>
    </row>
    <row r="960" spans="1:9" ht="15.75" hidden="1" thickBot="1" x14ac:dyDescent="0.3">
      <c r="A960" s="109" t="s">
        <v>3576</v>
      </c>
      <c r="B960" s="109" t="s">
        <v>1890</v>
      </c>
      <c r="C960" s="125" t="s">
        <v>333</v>
      </c>
      <c r="D960" s="109">
        <v>5</v>
      </c>
      <c r="E960" s="109" t="s">
        <v>1915</v>
      </c>
      <c r="F960" s="109" t="s">
        <v>2682</v>
      </c>
      <c r="G960" s="109" t="s">
        <v>2397</v>
      </c>
      <c r="H960" s="109" t="s">
        <v>3577</v>
      </c>
      <c r="I960" s="109" t="s">
        <v>3578</v>
      </c>
    </row>
    <row r="961" spans="1:9" ht="15.75" hidden="1" thickBot="1" x14ac:dyDescent="0.3">
      <c r="A961" s="111" t="s">
        <v>582</v>
      </c>
      <c r="B961" s="112" t="s">
        <v>1895</v>
      </c>
      <c r="C961" s="125" t="s">
        <v>333</v>
      </c>
      <c r="D961" s="112">
        <v>5</v>
      </c>
      <c r="E961" s="112" t="s">
        <v>1915</v>
      </c>
      <c r="F961" s="113"/>
      <c r="G961" s="112" t="s">
        <v>3409</v>
      </c>
      <c r="H961" s="112" t="s">
        <v>58</v>
      </c>
      <c r="I961" s="113"/>
    </row>
    <row r="962" spans="1:9" ht="15.75" hidden="1" thickBot="1" x14ac:dyDescent="0.3">
      <c r="A962" s="111" t="s">
        <v>401</v>
      </c>
      <c r="B962" s="109" t="s">
        <v>2412</v>
      </c>
      <c r="C962" s="125" t="s">
        <v>333</v>
      </c>
      <c r="D962" s="109">
        <v>5</v>
      </c>
      <c r="E962" s="109" t="s">
        <v>1915</v>
      </c>
      <c r="F962" s="114"/>
      <c r="G962" s="109" t="s">
        <v>3579</v>
      </c>
      <c r="H962" s="109" t="s">
        <v>3580</v>
      </c>
      <c r="I962" s="109"/>
    </row>
    <row r="963" spans="1:9" ht="15.75" hidden="1" thickBot="1" x14ac:dyDescent="0.3">
      <c r="A963" s="111" t="s">
        <v>3581</v>
      </c>
      <c r="B963" s="112" t="s">
        <v>2412</v>
      </c>
      <c r="C963" s="125" t="s">
        <v>333</v>
      </c>
      <c r="D963" s="112">
        <v>5</v>
      </c>
      <c r="E963" s="112" t="s">
        <v>1915</v>
      </c>
      <c r="F963" s="113"/>
      <c r="G963" s="112" t="s">
        <v>3579</v>
      </c>
      <c r="H963" s="112" t="s">
        <v>3582</v>
      </c>
      <c r="I963" s="113"/>
    </row>
    <row r="964" spans="1:9" ht="15.75" hidden="1" thickBot="1" x14ac:dyDescent="0.3">
      <c r="A964" s="111" t="s">
        <v>388</v>
      </c>
      <c r="B964" s="109" t="s">
        <v>2412</v>
      </c>
      <c r="C964" s="125" t="s">
        <v>333</v>
      </c>
      <c r="D964" s="109">
        <v>5</v>
      </c>
      <c r="E964" s="109" t="s">
        <v>1915</v>
      </c>
      <c r="F964" s="114"/>
      <c r="G964" s="109" t="s">
        <v>3579</v>
      </c>
      <c r="H964" s="109" t="s">
        <v>3583</v>
      </c>
      <c r="I964" s="109"/>
    </row>
    <row r="965" spans="1:9" ht="15.75" hidden="1" thickBot="1" x14ac:dyDescent="0.3">
      <c r="A965" s="111" t="s">
        <v>3584</v>
      </c>
      <c r="B965" s="112" t="s">
        <v>2412</v>
      </c>
      <c r="C965" s="125" t="s">
        <v>333</v>
      </c>
      <c r="D965" s="112">
        <v>5</v>
      </c>
      <c r="E965" s="112" t="s">
        <v>1915</v>
      </c>
      <c r="F965" s="113"/>
      <c r="G965" s="112" t="s">
        <v>3579</v>
      </c>
      <c r="H965" s="112" t="s">
        <v>3585</v>
      </c>
      <c r="I965" s="113"/>
    </row>
    <row r="966" spans="1:9" ht="26.25" hidden="1" thickBot="1" x14ac:dyDescent="0.3">
      <c r="A966" s="109" t="s">
        <v>3586</v>
      </c>
      <c r="B966" s="109" t="s">
        <v>2412</v>
      </c>
      <c r="C966" s="125" t="s">
        <v>333</v>
      </c>
      <c r="D966" s="109">
        <v>5</v>
      </c>
      <c r="E966" s="109" t="s">
        <v>1915</v>
      </c>
      <c r="F966" s="114"/>
      <c r="G966" s="109" t="s">
        <v>2413</v>
      </c>
      <c r="H966" s="109" t="s">
        <v>3587</v>
      </c>
      <c r="I966" s="109" t="s">
        <v>3588</v>
      </c>
    </row>
    <row r="967" spans="1:9" ht="15.75" hidden="1" thickBot="1" x14ac:dyDescent="0.3">
      <c r="A967" s="111" t="s">
        <v>394</v>
      </c>
      <c r="B967" s="112" t="s">
        <v>2412</v>
      </c>
      <c r="C967" s="125" t="s">
        <v>333</v>
      </c>
      <c r="D967" s="112">
        <v>5</v>
      </c>
      <c r="E967" s="112" t="s">
        <v>1915</v>
      </c>
      <c r="F967" s="113"/>
      <c r="G967" s="112" t="s">
        <v>2418</v>
      </c>
      <c r="H967" s="112" t="s">
        <v>3589</v>
      </c>
      <c r="I967" s="113"/>
    </row>
    <row r="968" spans="1:9" ht="15.75" hidden="1" thickBot="1" x14ac:dyDescent="0.3">
      <c r="A968" s="111" t="s">
        <v>3590</v>
      </c>
      <c r="B968" s="109" t="s">
        <v>2412</v>
      </c>
      <c r="C968" s="125" t="s">
        <v>333</v>
      </c>
      <c r="D968" s="109">
        <v>5</v>
      </c>
      <c r="E968" s="109"/>
      <c r="F968" s="114"/>
      <c r="G968" s="109" t="s">
        <v>2418</v>
      </c>
      <c r="H968" s="109" t="s">
        <v>3591</v>
      </c>
      <c r="I968" s="109"/>
    </row>
    <row r="969" spans="1:9" ht="15.75" hidden="1" thickBot="1" x14ac:dyDescent="0.3">
      <c r="A969" s="111" t="s">
        <v>3592</v>
      </c>
      <c r="B969" s="112" t="s">
        <v>2412</v>
      </c>
      <c r="C969" s="125" t="s">
        <v>333</v>
      </c>
      <c r="D969" s="112">
        <v>5</v>
      </c>
      <c r="E969" s="112" t="s">
        <v>1915</v>
      </c>
      <c r="F969" s="113"/>
      <c r="G969" s="112" t="s">
        <v>3579</v>
      </c>
      <c r="H969" s="112" t="s">
        <v>3593</v>
      </c>
      <c r="I969" s="113"/>
    </row>
    <row r="970" spans="1:9" ht="39" hidden="1" thickBot="1" x14ac:dyDescent="0.3">
      <c r="A970" s="109" t="s">
        <v>1739</v>
      </c>
      <c r="B970" s="109" t="s">
        <v>1895</v>
      </c>
      <c r="C970" s="125" t="s">
        <v>333</v>
      </c>
      <c r="D970" s="109">
        <v>5</v>
      </c>
      <c r="E970" s="109" t="s">
        <v>1915</v>
      </c>
      <c r="F970" s="109" t="s">
        <v>3430</v>
      </c>
      <c r="G970" s="109" t="s">
        <v>3398</v>
      </c>
      <c r="H970" s="109" t="s">
        <v>3594</v>
      </c>
      <c r="I970" s="109" t="s">
        <v>3595</v>
      </c>
    </row>
    <row r="971" spans="1:9" ht="15.75" hidden="1" thickBot="1" x14ac:dyDescent="0.3">
      <c r="A971" s="112" t="s">
        <v>385</v>
      </c>
      <c r="B971" s="112" t="s">
        <v>2048</v>
      </c>
      <c r="C971" s="125" t="s">
        <v>333</v>
      </c>
      <c r="D971" s="112">
        <v>5</v>
      </c>
      <c r="E971" s="112" t="s">
        <v>1915</v>
      </c>
      <c r="F971" s="113"/>
      <c r="G971" s="112" t="s">
        <v>3405</v>
      </c>
      <c r="H971" s="112" t="s">
        <v>3596</v>
      </c>
      <c r="I971" s="113" t="s">
        <v>3327</v>
      </c>
    </row>
    <row r="972" spans="1:9" ht="26.25" hidden="1" thickBot="1" x14ac:dyDescent="0.3">
      <c r="A972" s="109" t="s">
        <v>342</v>
      </c>
      <c r="B972" s="109" t="s">
        <v>2048</v>
      </c>
      <c r="C972" s="125" t="s">
        <v>333</v>
      </c>
      <c r="D972" s="109">
        <v>5</v>
      </c>
      <c r="E972" s="109" t="s">
        <v>1915</v>
      </c>
      <c r="F972" s="109" t="s">
        <v>2933</v>
      </c>
      <c r="G972" s="109" t="s">
        <v>2050</v>
      </c>
      <c r="H972" s="109" t="s">
        <v>3597</v>
      </c>
      <c r="I972" s="109" t="s">
        <v>3598</v>
      </c>
    </row>
    <row r="973" spans="1:9" ht="15.75" hidden="1" thickBot="1" x14ac:dyDescent="0.3">
      <c r="A973" s="111" t="s">
        <v>382</v>
      </c>
      <c r="B973" s="112" t="s">
        <v>1895</v>
      </c>
      <c r="C973" s="125" t="s">
        <v>333</v>
      </c>
      <c r="D973" s="112">
        <v>5</v>
      </c>
      <c r="E973" s="112" t="s">
        <v>1915</v>
      </c>
      <c r="F973" s="113" t="s">
        <v>1978</v>
      </c>
      <c r="G973" s="112" t="s">
        <v>3409</v>
      </c>
      <c r="H973" s="112" t="s">
        <v>58</v>
      </c>
      <c r="I973" s="113"/>
    </row>
    <row r="974" spans="1:9" ht="26.25" hidden="1" thickBot="1" x14ac:dyDescent="0.3">
      <c r="A974" s="109" t="s">
        <v>341</v>
      </c>
      <c r="B974" s="109" t="s">
        <v>1895</v>
      </c>
      <c r="C974" s="125" t="s">
        <v>333</v>
      </c>
      <c r="D974" s="109">
        <v>5</v>
      </c>
      <c r="E974" s="109" t="s">
        <v>1915</v>
      </c>
      <c r="F974" s="114"/>
      <c r="G974" s="109" t="s">
        <v>2435</v>
      </c>
      <c r="H974" s="109" t="s">
        <v>3599</v>
      </c>
      <c r="I974" s="109" t="s">
        <v>3600</v>
      </c>
    </row>
    <row r="975" spans="1:9" ht="15.75" hidden="1" thickBot="1" x14ac:dyDescent="0.3">
      <c r="A975" s="111" t="s">
        <v>3601</v>
      </c>
      <c r="B975" s="112" t="s">
        <v>1895</v>
      </c>
      <c r="C975" s="125" t="s">
        <v>333</v>
      </c>
      <c r="D975" s="112">
        <v>5</v>
      </c>
      <c r="E975" s="112"/>
      <c r="F975" s="113"/>
      <c r="G975" s="112" t="s">
        <v>2054</v>
      </c>
      <c r="H975" s="112" t="s">
        <v>3602</v>
      </c>
      <c r="I975" s="113"/>
    </row>
    <row r="976" spans="1:9" ht="26.25" hidden="1" thickBot="1" x14ac:dyDescent="0.3">
      <c r="A976" s="109" t="s">
        <v>343</v>
      </c>
      <c r="B976" s="109" t="s">
        <v>2005</v>
      </c>
      <c r="C976" s="125" t="s">
        <v>333</v>
      </c>
      <c r="D976" s="109">
        <v>5</v>
      </c>
      <c r="E976" s="109" t="s">
        <v>1915</v>
      </c>
      <c r="F976" s="109" t="s">
        <v>3430</v>
      </c>
      <c r="G976" s="109" t="s">
        <v>2462</v>
      </c>
      <c r="H976" s="109" t="s">
        <v>3603</v>
      </c>
      <c r="I976" s="109" t="s">
        <v>3604</v>
      </c>
    </row>
    <row r="977" spans="1:9" ht="26.25" hidden="1" thickBot="1" x14ac:dyDescent="0.3">
      <c r="A977" s="111" t="s">
        <v>3605</v>
      </c>
      <c r="B977" s="112" t="s">
        <v>1953</v>
      </c>
      <c r="C977" s="125" t="s">
        <v>333</v>
      </c>
      <c r="D977" s="112">
        <v>5</v>
      </c>
      <c r="E977" s="112" t="s">
        <v>1915</v>
      </c>
      <c r="F977" s="113" t="s">
        <v>3606</v>
      </c>
      <c r="G977" s="112" t="s">
        <v>2473</v>
      </c>
      <c r="H977" s="113" t="s">
        <v>3607</v>
      </c>
      <c r="I977" s="113"/>
    </row>
    <row r="978" spans="1:9" ht="15.75" hidden="1" thickBot="1" x14ac:dyDescent="0.3">
      <c r="A978" s="111" t="s">
        <v>3608</v>
      </c>
      <c r="B978" s="109" t="s">
        <v>1895</v>
      </c>
      <c r="C978" s="125" t="s">
        <v>333</v>
      </c>
      <c r="D978" s="109">
        <v>5</v>
      </c>
      <c r="E978" s="109" t="s">
        <v>1915</v>
      </c>
      <c r="F978" s="109" t="s">
        <v>3609</v>
      </c>
      <c r="G978" s="109" t="s">
        <v>3610</v>
      </c>
      <c r="H978" s="109"/>
      <c r="I978" s="109"/>
    </row>
    <row r="979" spans="1:9" ht="15.75" hidden="1" thickBot="1" x14ac:dyDescent="0.3">
      <c r="A979" s="111" t="s">
        <v>3611</v>
      </c>
      <c r="B979" s="112" t="s">
        <v>1895</v>
      </c>
      <c r="C979" s="125" t="s">
        <v>333</v>
      </c>
      <c r="D979" s="112">
        <v>5</v>
      </c>
      <c r="E979" s="112" t="s">
        <v>1915</v>
      </c>
      <c r="F979" s="113" t="s">
        <v>3612</v>
      </c>
      <c r="G979" s="112" t="s">
        <v>3052</v>
      </c>
      <c r="H979" s="112" t="s">
        <v>3613</v>
      </c>
      <c r="I979" s="113"/>
    </row>
    <row r="980" spans="1:9" ht="15.75" hidden="1" thickBot="1" x14ac:dyDescent="0.3">
      <c r="A980" s="109" t="s">
        <v>365</v>
      </c>
      <c r="B980" s="109" t="s">
        <v>1895</v>
      </c>
      <c r="C980" s="125" t="s">
        <v>333</v>
      </c>
      <c r="D980" s="109">
        <v>5</v>
      </c>
      <c r="E980" s="109" t="s">
        <v>1915</v>
      </c>
      <c r="F980" s="114"/>
      <c r="G980" s="109" t="s">
        <v>3052</v>
      </c>
      <c r="H980" s="109" t="s">
        <v>3614</v>
      </c>
      <c r="I980" s="109" t="s">
        <v>2848</v>
      </c>
    </row>
    <row r="981" spans="1:9" ht="26.25" hidden="1" thickBot="1" x14ac:dyDescent="0.3">
      <c r="A981" s="112" t="s">
        <v>337</v>
      </c>
      <c r="B981" s="112" t="s">
        <v>1895</v>
      </c>
      <c r="C981" s="125" t="s">
        <v>333</v>
      </c>
      <c r="D981" s="112">
        <v>5</v>
      </c>
      <c r="E981" s="112" t="s">
        <v>1915</v>
      </c>
      <c r="F981" s="113" t="s">
        <v>2035</v>
      </c>
      <c r="G981" s="112" t="s">
        <v>3060</v>
      </c>
      <c r="H981" s="112" t="s">
        <v>3615</v>
      </c>
      <c r="I981" s="113" t="s">
        <v>3616</v>
      </c>
    </row>
    <row r="982" spans="1:9" ht="15.75" hidden="1" thickBot="1" x14ac:dyDescent="0.3">
      <c r="A982" s="111" t="s">
        <v>3617</v>
      </c>
      <c r="B982" s="109" t="s">
        <v>1953</v>
      </c>
      <c r="C982" s="125" t="s">
        <v>333</v>
      </c>
      <c r="D982" s="109">
        <v>5</v>
      </c>
      <c r="E982" s="109" t="s">
        <v>1915</v>
      </c>
      <c r="F982" s="114"/>
      <c r="G982" s="109" t="s">
        <v>3409</v>
      </c>
      <c r="H982" s="109"/>
      <c r="I982" s="109"/>
    </row>
    <row r="983" spans="1:9" ht="15.75" hidden="1" thickBot="1" x14ac:dyDescent="0.3">
      <c r="A983" s="111" t="s">
        <v>1247</v>
      </c>
      <c r="B983" s="112" t="s">
        <v>1895</v>
      </c>
      <c r="C983" s="125" t="s">
        <v>333</v>
      </c>
      <c r="D983" s="112">
        <v>5</v>
      </c>
      <c r="E983" s="112"/>
      <c r="F983" s="113"/>
      <c r="G983" s="112" t="s">
        <v>2483</v>
      </c>
      <c r="H983" s="112" t="s">
        <v>3618</v>
      </c>
      <c r="I983" s="113"/>
    </row>
    <row r="984" spans="1:9" ht="26.25" hidden="1" thickBot="1" x14ac:dyDescent="0.3">
      <c r="A984" s="109" t="s">
        <v>3619</v>
      </c>
      <c r="B984" s="109" t="s">
        <v>1953</v>
      </c>
      <c r="C984" s="125" t="s">
        <v>333</v>
      </c>
      <c r="D984" s="109">
        <v>5</v>
      </c>
      <c r="E984" s="109" t="s">
        <v>1915</v>
      </c>
      <c r="F984" s="109" t="s">
        <v>3443</v>
      </c>
      <c r="G984" s="109" t="s">
        <v>2483</v>
      </c>
      <c r="H984" s="109" t="s">
        <v>3620</v>
      </c>
      <c r="I984" s="109" t="s">
        <v>3621</v>
      </c>
    </row>
    <row r="985" spans="1:9" ht="15.75" hidden="1" thickBot="1" x14ac:dyDescent="0.3">
      <c r="A985" s="111" t="s">
        <v>3622</v>
      </c>
      <c r="B985" s="112" t="s">
        <v>1953</v>
      </c>
      <c r="C985" s="125" t="s">
        <v>333</v>
      </c>
      <c r="D985" s="112">
        <v>5</v>
      </c>
      <c r="E985" s="112" t="s">
        <v>1915</v>
      </c>
      <c r="F985" s="113"/>
      <c r="G985" s="112"/>
      <c r="H985" s="112"/>
      <c r="I985" s="113"/>
    </row>
    <row r="986" spans="1:9" ht="15.75" hidden="1" thickBot="1" x14ac:dyDescent="0.3">
      <c r="A986" s="111" t="s">
        <v>3623</v>
      </c>
      <c r="B986" s="109" t="s">
        <v>1953</v>
      </c>
      <c r="C986" s="125" t="s">
        <v>333</v>
      </c>
      <c r="D986" s="109">
        <v>5</v>
      </c>
      <c r="E986" s="109" t="s">
        <v>1915</v>
      </c>
      <c r="F986" s="109"/>
      <c r="G986" s="109"/>
      <c r="H986" s="109"/>
      <c r="I986" s="109"/>
    </row>
    <row r="987" spans="1:9" ht="15.75" hidden="1" thickBot="1" x14ac:dyDescent="0.3">
      <c r="A987" s="112" t="s">
        <v>3624</v>
      </c>
      <c r="B987" s="112" t="s">
        <v>1953</v>
      </c>
      <c r="C987" s="125" t="s">
        <v>333</v>
      </c>
      <c r="D987" s="112">
        <v>5</v>
      </c>
      <c r="E987" s="112" t="s">
        <v>1915</v>
      </c>
      <c r="F987" s="113"/>
      <c r="G987" s="112"/>
      <c r="H987" s="112"/>
      <c r="I987" s="113" t="s">
        <v>3621</v>
      </c>
    </row>
    <row r="988" spans="1:9" ht="39" hidden="1" thickBot="1" x14ac:dyDescent="0.3">
      <c r="A988" s="109" t="s">
        <v>350</v>
      </c>
      <c r="B988" s="109" t="s">
        <v>1953</v>
      </c>
      <c r="C988" s="125" t="s">
        <v>333</v>
      </c>
      <c r="D988" s="109">
        <v>5</v>
      </c>
      <c r="E988" s="109" t="s">
        <v>1915</v>
      </c>
      <c r="F988" s="109" t="s">
        <v>3625</v>
      </c>
      <c r="G988" s="109" t="s">
        <v>3500</v>
      </c>
      <c r="H988" s="109"/>
      <c r="I988" s="109" t="s">
        <v>3501</v>
      </c>
    </row>
    <row r="989" spans="1:9" ht="15.75" hidden="1" thickBot="1" x14ac:dyDescent="0.3">
      <c r="A989" s="112" t="s">
        <v>3626</v>
      </c>
      <c r="B989" s="112" t="s">
        <v>1953</v>
      </c>
      <c r="C989" s="125" t="s">
        <v>333</v>
      </c>
      <c r="D989" s="112">
        <v>5</v>
      </c>
      <c r="E989" s="112"/>
      <c r="F989" s="113" t="s">
        <v>3627</v>
      </c>
      <c r="G989" s="112" t="s">
        <v>3500</v>
      </c>
      <c r="H989" s="112"/>
      <c r="I989" s="113" t="s">
        <v>3501</v>
      </c>
    </row>
    <row r="990" spans="1:9" ht="15.75" hidden="1" thickBot="1" x14ac:dyDescent="0.3">
      <c r="A990" s="109" t="s">
        <v>353</v>
      </c>
      <c r="B990" s="109" t="s">
        <v>1895</v>
      </c>
      <c r="C990" s="125" t="s">
        <v>333</v>
      </c>
      <c r="D990" s="109">
        <v>5</v>
      </c>
      <c r="E990" s="109" t="s">
        <v>1915</v>
      </c>
      <c r="F990" s="109" t="s">
        <v>1978</v>
      </c>
      <c r="G990" s="109" t="s">
        <v>2017</v>
      </c>
      <c r="H990" s="109" t="s">
        <v>58</v>
      </c>
      <c r="I990" s="109" t="s">
        <v>3226</v>
      </c>
    </row>
    <row r="991" spans="1:9" ht="15.75" hidden="1" thickBot="1" x14ac:dyDescent="0.3">
      <c r="A991" s="111" t="s">
        <v>3628</v>
      </c>
      <c r="B991" s="112" t="s">
        <v>1895</v>
      </c>
      <c r="C991" s="126" t="s">
        <v>3629</v>
      </c>
      <c r="D991" s="112">
        <v>6</v>
      </c>
      <c r="E991" s="112" t="s">
        <v>1915</v>
      </c>
      <c r="F991" s="113"/>
      <c r="G991" s="112" t="s">
        <v>1950</v>
      </c>
      <c r="H991" s="112"/>
      <c r="I991" s="113"/>
    </row>
    <row r="992" spans="1:9" ht="15.75" hidden="1" thickBot="1" x14ac:dyDescent="0.3">
      <c r="A992" s="111" t="s">
        <v>3630</v>
      </c>
      <c r="B992" s="109" t="s">
        <v>1953</v>
      </c>
      <c r="C992" s="126" t="s">
        <v>3629</v>
      </c>
      <c r="D992" s="109">
        <v>6</v>
      </c>
      <c r="E992" s="109" t="s">
        <v>1915</v>
      </c>
      <c r="F992" s="114"/>
      <c r="G992" s="109" t="s">
        <v>1950</v>
      </c>
      <c r="H992" s="109"/>
      <c r="I992" s="109"/>
    </row>
    <row r="993" spans="1:9" ht="15.75" hidden="1" thickBot="1" x14ac:dyDescent="0.3">
      <c r="A993" s="112" t="s">
        <v>3631</v>
      </c>
      <c r="B993" s="112" t="s">
        <v>1953</v>
      </c>
      <c r="C993" s="126" t="s">
        <v>3629</v>
      </c>
      <c r="D993" s="112">
        <v>6</v>
      </c>
      <c r="E993" s="112" t="s">
        <v>1915</v>
      </c>
      <c r="F993" s="113" t="s">
        <v>2925</v>
      </c>
      <c r="G993" s="112" t="s">
        <v>3632</v>
      </c>
      <c r="H993" s="112" t="s">
        <v>58</v>
      </c>
      <c r="I993" s="113" t="s">
        <v>3569</v>
      </c>
    </row>
    <row r="994" spans="1:9" ht="15.75" hidden="1" thickBot="1" x14ac:dyDescent="0.3">
      <c r="A994" s="111" t="s">
        <v>3633</v>
      </c>
      <c r="B994" s="109" t="s">
        <v>1895</v>
      </c>
      <c r="C994" s="126" t="s">
        <v>3629</v>
      </c>
      <c r="D994" s="109">
        <v>6</v>
      </c>
      <c r="E994" s="109" t="s">
        <v>1915</v>
      </c>
      <c r="F994" s="109" t="s">
        <v>3612</v>
      </c>
      <c r="G994" s="109" t="s">
        <v>3500</v>
      </c>
      <c r="H994" s="109"/>
      <c r="I994" s="109"/>
    </row>
    <row r="995" spans="1:9" ht="15.75" hidden="1" thickBot="1" x14ac:dyDescent="0.3">
      <c r="A995" s="111" t="s">
        <v>3634</v>
      </c>
      <c r="B995" s="112" t="s">
        <v>1895</v>
      </c>
      <c r="C995" s="126" t="s">
        <v>3629</v>
      </c>
      <c r="D995" s="112">
        <v>6</v>
      </c>
      <c r="E995" s="112" t="s">
        <v>1915</v>
      </c>
      <c r="F995" s="113"/>
      <c r="G995" s="112" t="s">
        <v>3500</v>
      </c>
      <c r="H995" s="112"/>
      <c r="I995" s="113"/>
    </row>
    <row r="996" spans="1:9" ht="15.75" hidden="1" thickBot="1" x14ac:dyDescent="0.3">
      <c r="A996" s="111" t="s">
        <v>3635</v>
      </c>
      <c r="B996" s="109" t="s">
        <v>1895</v>
      </c>
      <c r="C996" s="126" t="s">
        <v>3629</v>
      </c>
      <c r="D996" s="109">
        <v>6</v>
      </c>
      <c r="E996" s="109" t="s">
        <v>1915</v>
      </c>
      <c r="F996" s="114"/>
      <c r="G996" s="109" t="s">
        <v>1950</v>
      </c>
      <c r="H996" s="109"/>
      <c r="I996" s="109"/>
    </row>
    <row r="997" spans="1:9" ht="15.75" hidden="1" thickBot="1" x14ac:dyDescent="0.3">
      <c r="A997" s="111" t="s">
        <v>3636</v>
      </c>
      <c r="B997" s="112" t="s">
        <v>1895</v>
      </c>
      <c r="C997" s="126" t="s">
        <v>3629</v>
      </c>
      <c r="D997" s="112">
        <v>6</v>
      </c>
      <c r="E997" s="112" t="s">
        <v>1915</v>
      </c>
      <c r="F997" s="113"/>
      <c r="G997" s="112" t="s">
        <v>1950</v>
      </c>
      <c r="H997" s="112"/>
      <c r="I997" s="113"/>
    </row>
    <row r="998" spans="1:9" ht="15.75" hidden="1" thickBot="1" x14ac:dyDescent="0.3">
      <c r="A998" s="109" t="s">
        <v>3637</v>
      </c>
      <c r="B998" s="109" t="s">
        <v>1895</v>
      </c>
      <c r="C998" s="126" t="s">
        <v>3629</v>
      </c>
      <c r="D998" s="109">
        <v>6</v>
      </c>
      <c r="E998" s="109"/>
      <c r="F998" s="114"/>
      <c r="G998" s="109" t="s">
        <v>3638</v>
      </c>
      <c r="H998" s="109" t="s">
        <v>58</v>
      </c>
      <c r="I998" s="109" t="s">
        <v>3639</v>
      </c>
    </row>
    <row r="999" spans="1:9" ht="15.75" hidden="1" thickBot="1" x14ac:dyDescent="0.3">
      <c r="A999" s="111" t="s">
        <v>3640</v>
      </c>
      <c r="B999" s="112" t="s">
        <v>1895</v>
      </c>
      <c r="C999" s="126" t="s">
        <v>3629</v>
      </c>
      <c r="D999" s="112">
        <v>6</v>
      </c>
      <c r="E999" s="112" t="s">
        <v>1915</v>
      </c>
      <c r="F999" s="113"/>
      <c r="G999" s="112" t="s">
        <v>1950</v>
      </c>
      <c r="H999" s="113"/>
      <c r="I999" s="113"/>
    </row>
    <row r="1000" spans="1:9" ht="15.75" hidden="1" thickBot="1" x14ac:dyDescent="0.3">
      <c r="A1000" s="111" t="s">
        <v>3641</v>
      </c>
      <c r="B1000" s="109" t="s">
        <v>1895</v>
      </c>
      <c r="C1000" s="126" t="s">
        <v>3629</v>
      </c>
      <c r="D1000" s="109">
        <v>6</v>
      </c>
      <c r="E1000" s="109" t="s">
        <v>1915</v>
      </c>
      <c r="F1000" s="114"/>
      <c r="G1000" s="109" t="s">
        <v>1950</v>
      </c>
      <c r="H1000" s="109"/>
      <c r="I1000" s="109"/>
    </row>
    <row r="1001" spans="1:9" ht="15.75" hidden="1" thickBot="1" x14ac:dyDescent="0.3">
      <c r="A1001" s="111" t="s">
        <v>3642</v>
      </c>
      <c r="B1001" s="112" t="s">
        <v>1953</v>
      </c>
      <c r="C1001" s="126" t="s">
        <v>3629</v>
      </c>
      <c r="D1001" s="112">
        <v>6</v>
      </c>
      <c r="E1001" s="112" t="s">
        <v>1915</v>
      </c>
      <c r="F1001" s="113" t="s">
        <v>2925</v>
      </c>
      <c r="G1001" s="112" t="s">
        <v>3500</v>
      </c>
      <c r="H1001" s="112"/>
      <c r="I1001" s="113"/>
    </row>
    <row r="1002" spans="1:9" ht="15.75" hidden="1" thickBot="1" x14ac:dyDescent="0.3">
      <c r="A1002" s="111" t="s">
        <v>3643</v>
      </c>
      <c r="B1002" s="109" t="s">
        <v>1895</v>
      </c>
      <c r="C1002" s="126" t="s">
        <v>3629</v>
      </c>
      <c r="D1002" s="109">
        <v>6</v>
      </c>
      <c r="E1002" s="109" t="s">
        <v>1915</v>
      </c>
      <c r="F1002" s="114"/>
      <c r="G1002" s="109" t="s">
        <v>1950</v>
      </c>
      <c r="H1002" s="109"/>
      <c r="I1002" s="109"/>
    </row>
    <row r="1003" spans="1:9" ht="15.75" hidden="1" thickBot="1" x14ac:dyDescent="0.3">
      <c r="A1003" s="111" t="s">
        <v>3644</v>
      </c>
      <c r="B1003" s="112" t="s">
        <v>1953</v>
      </c>
      <c r="C1003" s="126" t="s">
        <v>3629</v>
      </c>
      <c r="D1003" s="112">
        <v>6</v>
      </c>
      <c r="E1003" s="112" t="s">
        <v>1915</v>
      </c>
      <c r="F1003" s="113" t="s">
        <v>2916</v>
      </c>
      <c r="G1003" s="112" t="s">
        <v>3500</v>
      </c>
      <c r="H1003" s="112"/>
      <c r="I1003" s="113"/>
    </row>
    <row r="1004" spans="1:9" ht="15.75" hidden="1" thickBot="1" x14ac:dyDescent="0.3">
      <c r="A1004" s="109" t="s">
        <v>3645</v>
      </c>
      <c r="B1004" s="109" t="s">
        <v>1895</v>
      </c>
      <c r="C1004" s="127" t="s">
        <v>1126</v>
      </c>
      <c r="D1004" s="109">
        <v>7</v>
      </c>
      <c r="E1004" s="109"/>
      <c r="F1004" s="114"/>
      <c r="G1004" s="109" t="s">
        <v>3462</v>
      </c>
      <c r="H1004" s="109" t="s">
        <v>58</v>
      </c>
      <c r="I1004" s="109" t="s">
        <v>3462</v>
      </c>
    </row>
    <row r="1005" spans="1:9" ht="15.75" hidden="1" thickBot="1" x14ac:dyDescent="0.3">
      <c r="A1005" s="112" t="s">
        <v>3646</v>
      </c>
      <c r="B1005" s="112" t="s">
        <v>1895</v>
      </c>
      <c r="C1005" s="127" t="s">
        <v>1126</v>
      </c>
      <c r="D1005" s="112">
        <v>7</v>
      </c>
      <c r="E1005" s="112"/>
      <c r="F1005" s="113"/>
      <c r="G1005" s="112" t="s">
        <v>3647</v>
      </c>
      <c r="H1005" s="112"/>
      <c r="I1005" s="113" t="s">
        <v>3648</v>
      </c>
    </row>
    <row r="1006" spans="1:9" ht="15.75" hidden="1" thickBot="1" x14ac:dyDescent="0.3">
      <c r="A1006" s="109" t="s">
        <v>3649</v>
      </c>
      <c r="B1006" s="109" t="s">
        <v>1895</v>
      </c>
      <c r="C1006" s="127" t="s">
        <v>1126</v>
      </c>
      <c r="D1006" s="109">
        <v>7</v>
      </c>
      <c r="E1006" s="109"/>
      <c r="F1006" s="114"/>
      <c r="G1006" s="109" t="s">
        <v>3650</v>
      </c>
      <c r="H1006" s="109" t="s">
        <v>58</v>
      </c>
      <c r="I1006" s="109" t="s">
        <v>2948</v>
      </c>
    </row>
    <row r="1007" spans="1:9" ht="15.75" hidden="1" thickBot="1" x14ac:dyDescent="0.3">
      <c r="A1007" s="112" t="s">
        <v>3651</v>
      </c>
      <c r="B1007" s="112" t="s">
        <v>1953</v>
      </c>
      <c r="C1007" s="127" t="s">
        <v>1126</v>
      </c>
      <c r="D1007" s="112">
        <v>7</v>
      </c>
      <c r="E1007" s="112"/>
      <c r="F1007" s="113"/>
      <c r="G1007" s="112" t="s">
        <v>1965</v>
      </c>
      <c r="H1007" s="112"/>
      <c r="I1007" s="113" t="s">
        <v>3652</v>
      </c>
    </row>
    <row r="1008" spans="1:9" ht="15.75" hidden="1" thickBot="1" x14ac:dyDescent="0.3">
      <c r="A1008" s="109" t="s">
        <v>3653</v>
      </c>
      <c r="B1008" s="109" t="s">
        <v>1953</v>
      </c>
      <c r="C1008" s="127" t="s">
        <v>1126</v>
      </c>
      <c r="D1008" s="109">
        <v>7</v>
      </c>
      <c r="E1008" s="109"/>
      <c r="F1008" s="109" t="s">
        <v>2925</v>
      </c>
      <c r="G1008" s="109" t="s">
        <v>2174</v>
      </c>
      <c r="H1008" s="109"/>
      <c r="I1008" s="109" t="s">
        <v>2848</v>
      </c>
    </row>
    <row r="1009" spans="1:9" ht="15.75" hidden="1" thickBot="1" x14ac:dyDescent="0.3">
      <c r="A1009" s="112" t="s">
        <v>3654</v>
      </c>
      <c r="B1009" s="112" t="s">
        <v>1953</v>
      </c>
      <c r="C1009" s="127" t="s">
        <v>1126</v>
      </c>
      <c r="D1009" s="112">
        <v>7</v>
      </c>
      <c r="E1009" s="112"/>
      <c r="F1009" s="113" t="s">
        <v>2169</v>
      </c>
      <c r="G1009" s="112" t="s">
        <v>3655</v>
      </c>
      <c r="H1009" s="112"/>
      <c r="I1009" s="113" t="s">
        <v>3291</v>
      </c>
    </row>
    <row r="1010" spans="1:9" ht="15.75" hidden="1" thickBot="1" x14ac:dyDescent="0.3">
      <c r="A1010" s="111" t="s">
        <v>3656</v>
      </c>
      <c r="B1010" s="109" t="s">
        <v>3362</v>
      </c>
      <c r="C1010" s="127" t="s">
        <v>1126</v>
      </c>
      <c r="D1010" s="109">
        <v>7</v>
      </c>
      <c r="E1010" s="109"/>
      <c r="F1010" s="109"/>
      <c r="G1010" s="109" t="s">
        <v>3647</v>
      </c>
      <c r="H1010" s="109"/>
      <c r="I1010" s="109"/>
    </row>
    <row r="1011" spans="1:9" ht="15.75" hidden="1" thickBot="1" x14ac:dyDescent="0.3">
      <c r="A1011" s="112" t="s">
        <v>3657</v>
      </c>
      <c r="B1011" s="112" t="s">
        <v>1890</v>
      </c>
      <c r="C1011" s="127" t="s">
        <v>1126</v>
      </c>
      <c r="D1011" s="112">
        <v>7</v>
      </c>
      <c r="E1011" s="112"/>
      <c r="F1011" s="113"/>
      <c r="G1011" s="112" t="s">
        <v>1965</v>
      </c>
      <c r="H1011" s="112"/>
      <c r="I1011" s="113" t="s">
        <v>3658</v>
      </c>
    </row>
    <row r="1012" spans="1:9" ht="15.75" hidden="1" thickBot="1" x14ac:dyDescent="0.3">
      <c r="A1012" s="109" t="s">
        <v>3659</v>
      </c>
      <c r="B1012" s="109" t="s">
        <v>3362</v>
      </c>
      <c r="C1012" s="127" t="s">
        <v>1126</v>
      </c>
      <c r="D1012" s="109">
        <v>7</v>
      </c>
      <c r="E1012" s="109"/>
      <c r="F1012" s="114"/>
      <c r="G1012" s="109" t="s">
        <v>89</v>
      </c>
      <c r="H1012" s="109"/>
      <c r="I1012" s="109" t="s">
        <v>3660</v>
      </c>
    </row>
    <row r="1013" spans="1:9" ht="15.75" hidden="1" thickBot="1" x14ac:dyDescent="0.3">
      <c r="A1013" s="112" t="s">
        <v>3661</v>
      </c>
      <c r="B1013" s="112" t="s">
        <v>3362</v>
      </c>
      <c r="C1013" s="127" t="s">
        <v>1126</v>
      </c>
      <c r="D1013" s="112">
        <v>7</v>
      </c>
      <c r="E1013" s="112"/>
      <c r="F1013" s="113"/>
      <c r="G1013" s="112" t="s">
        <v>3064</v>
      </c>
      <c r="H1013" s="112"/>
      <c r="I1013" s="113" t="s">
        <v>3662</v>
      </c>
    </row>
    <row r="1014" spans="1:9" ht="15.75" hidden="1" thickBot="1" x14ac:dyDescent="0.3">
      <c r="A1014" s="111" t="s">
        <v>3663</v>
      </c>
      <c r="B1014" s="109" t="s">
        <v>3362</v>
      </c>
      <c r="C1014" s="127" t="s">
        <v>1126</v>
      </c>
      <c r="D1014" s="109">
        <v>7</v>
      </c>
      <c r="E1014" s="109"/>
      <c r="F1014" s="109"/>
      <c r="G1014" s="109" t="s">
        <v>3664</v>
      </c>
      <c r="H1014" s="114"/>
      <c r="I1014" s="109"/>
    </row>
    <row r="1015" spans="1:9" ht="15.75" hidden="1" thickBot="1" x14ac:dyDescent="0.3">
      <c r="A1015" s="112" t="s">
        <v>3665</v>
      </c>
      <c r="B1015" s="112" t="s">
        <v>1953</v>
      </c>
      <c r="C1015" s="127" t="s">
        <v>1126</v>
      </c>
      <c r="D1015" s="112">
        <v>7</v>
      </c>
      <c r="E1015" s="112"/>
      <c r="F1015" s="113"/>
      <c r="G1015" s="112" t="s">
        <v>2384</v>
      </c>
      <c r="H1015" s="112"/>
      <c r="I1015" s="113" t="s">
        <v>3226</v>
      </c>
    </row>
    <row r="1016" spans="1:9" ht="15.75" hidden="1" thickBot="1" x14ac:dyDescent="0.3">
      <c r="A1016" s="109" t="s">
        <v>3666</v>
      </c>
      <c r="B1016" s="109" t="s">
        <v>3362</v>
      </c>
      <c r="C1016" s="127" t="s">
        <v>1126</v>
      </c>
      <c r="D1016" s="109">
        <v>7</v>
      </c>
      <c r="E1016" s="109"/>
      <c r="F1016" s="109"/>
      <c r="G1016" s="109" t="s">
        <v>1965</v>
      </c>
      <c r="H1016" s="109"/>
      <c r="I1016" s="109" t="s">
        <v>2764</v>
      </c>
    </row>
    <row r="1017" spans="1:9" ht="15.75" hidden="1" thickBot="1" x14ac:dyDescent="0.3">
      <c r="A1017" s="111" t="s">
        <v>3667</v>
      </c>
      <c r="B1017" s="112" t="s">
        <v>3362</v>
      </c>
      <c r="C1017" s="127" t="s">
        <v>1126</v>
      </c>
      <c r="D1017" s="112">
        <v>7</v>
      </c>
      <c r="E1017" s="112"/>
      <c r="F1017" s="113"/>
      <c r="G1017" s="112" t="s">
        <v>1965</v>
      </c>
      <c r="H1017" s="112"/>
      <c r="I1017" s="113"/>
    </row>
    <row r="1018" spans="1:9" ht="15.75" hidden="1" thickBot="1" x14ac:dyDescent="0.3">
      <c r="A1018" s="109" t="s">
        <v>3668</v>
      </c>
      <c r="B1018" s="109" t="s">
        <v>3362</v>
      </c>
      <c r="C1018" s="127" t="s">
        <v>1126</v>
      </c>
      <c r="D1018" s="109">
        <v>7</v>
      </c>
      <c r="E1018" s="109"/>
      <c r="F1018" s="114"/>
      <c r="G1018" s="109" t="s">
        <v>1965</v>
      </c>
      <c r="H1018" s="109"/>
      <c r="I1018" s="109" t="s">
        <v>2009</v>
      </c>
    </row>
    <row r="1019" spans="1:9" ht="26.25" hidden="1" thickBot="1" x14ac:dyDescent="0.3">
      <c r="A1019" s="112" t="s">
        <v>3669</v>
      </c>
      <c r="B1019" s="112" t="s">
        <v>2023</v>
      </c>
      <c r="C1019" s="127" t="s">
        <v>1126</v>
      </c>
      <c r="D1019" s="112">
        <v>7</v>
      </c>
      <c r="E1019" s="112"/>
      <c r="F1019" s="113" t="s">
        <v>2057</v>
      </c>
      <c r="G1019" s="112" t="s">
        <v>3670</v>
      </c>
      <c r="H1019" s="112"/>
      <c r="I1019" s="113" t="s">
        <v>3671</v>
      </c>
    </row>
    <row r="1020" spans="1:9" ht="15.75" hidden="1" thickBot="1" x14ac:dyDescent="0.3">
      <c r="A1020" s="109" t="s">
        <v>3672</v>
      </c>
      <c r="B1020" s="109" t="s">
        <v>1890</v>
      </c>
      <c r="C1020" s="127" t="s">
        <v>1126</v>
      </c>
      <c r="D1020" s="109">
        <v>7</v>
      </c>
      <c r="E1020" s="109"/>
      <c r="F1020" s="114"/>
      <c r="G1020" s="109" t="s">
        <v>2174</v>
      </c>
      <c r="H1020" s="109"/>
      <c r="I1020" s="109" t="s">
        <v>3673</v>
      </c>
    </row>
    <row r="1021" spans="1:9" ht="26.25" hidden="1" thickBot="1" x14ac:dyDescent="0.3">
      <c r="A1021" s="111" t="s">
        <v>3674</v>
      </c>
      <c r="B1021" s="112" t="s">
        <v>1953</v>
      </c>
      <c r="C1021" s="127" t="s">
        <v>1126</v>
      </c>
      <c r="D1021" s="112">
        <v>7</v>
      </c>
      <c r="E1021" s="112" t="s">
        <v>1915</v>
      </c>
      <c r="F1021" s="113" t="s">
        <v>3530</v>
      </c>
      <c r="G1021" s="112" t="s">
        <v>3531</v>
      </c>
      <c r="H1021" s="112"/>
      <c r="I1021" s="113"/>
    </row>
    <row r="1022" spans="1:9" ht="15.75" hidden="1" thickBot="1" x14ac:dyDescent="0.3">
      <c r="A1022" s="111" t="s">
        <v>3675</v>
      </c>
      <c r="B1022" s="109" t="s">
        <v>2412</v>
      </c>
      <c r="C1022" s="127" t="s">
        <v>1126</v>
      </c>
      <c r="D1022" s="109">
        <v>7</v>
      </c>
      <c r="E1022" s="109"/>
      <c r="F1022" s="114"/>
      <c r="G1022" s="109" t="s">
        <v>3676</v>
      </c>
      <c r="H1022" s="109"/>
      <c r="I1022" s="109"/>
    </row>
    <row r="1023" spans="1:9" ht="15.75" hidden="1" thickBot="1" x14ac:dyDescent="0.3">
      <c r="A1023" s="112" t="s">
        <v>3677</v>
      </c>
      <c r="B1023" s="112" t="s">
        <v>1895</v>
      </c>
      <c r="C1023" s="127" t="s">
        <v>1126</v>
      </c>
      <c r="D1023" s="112">
        <v>7</v>
      </c>
      <c r="E1023" s="112"/>
      <c r="F1023" s="113"/>
      <c r="G1023" s="112" t="s">
        <v>3678</v>
      </c>
      <c r="H1023" s="112"/>
      <c r="I1023" s="113" t="s">
        <v>2948</v>
      </c>
    </row>
    <row r="1024" spans="1:9" ht="15.75" hidden="1" thickBot="1" x14ac:dyDescent="0.3">
      <c r="A1024" s="109" t="s">
        <v>3679</v>
      </c>
      <c r="B1024" s="109" t="s">
        <v>1953</v>
      </c>
      <c r="C1024" s="127" t="s">
        <v>1126</v>
      </c>
      <c r="D1024" s="109">
        <v>7</v>
      </c>
      <c r="E1024" s="109" t="s">
        <v>1915</v>
      </c>
      <c r="F1024" s="114"/>
      <c r="G1024" s="109" t="s">
        <v>3680</v>
      </c>
      <c r="H1024" s="109" t="s">
        <v>58</v>
      </c>
      <c r="I1024" s="109" t="s">
        <v>2163</v>
      </c>
    </row>
    <row r="1025" spans="1:9" ht="15.75" hidden="1" thickBot="1" x14ac:dyDescent="0.3">
      <c r="A1025" s="112" t="s">
        <v>3681</v>
      </c>
      <c r="B1025" s="112" t="s">
        <v>1895</v>
      </c>
      <c r="C1025" s="128" t="s">
        <v>3682</v>
      </c>
      <c r="D1025" s="112">
        <v>8</v>
      </c>
      <c r="E1025" s="112"/>
      <c r="F1025" s="113"/>
      <c r="G1025" s="112" t="s">
        <v>3683</v>
      </c>
      <c r="H1025" s="112" t="s">
        <v>58</v>
      </c>
      <c r="I1025" s="113" t="s">
        <v>2275</v>
      </c>
    </row>
    <row r="1026" spans="1:9" ht="15.75" hidden="1" thickBot="1" x14ac:dyDescent="0.3">
      <c r="A1026" s="109" t="s">
        <v>3684</v>
      </c>
      <c r="B1026" s="109" t="s">
        <v>1895</v>
      </c>
      <c r="C1026" s="128" t="s">
        <v>3682</v>
      </c>
      <c r="D1026" s="109">
        <v>8</v>
      </c>
      <c r="E1026" s="109"/>
      <c r="F1026" s="114"/>
      <c r="G1026" s="109" t="s">
        <v>3685</v>
      </c>
      <c r="H1026" s="109" t="s">
        <v>58</v>
      </c>
      <c r="I1026" s="109" t="s">
        <v>3235</v>
      </c>
    </row>
    <row r="1027" spans="1:9" ht="15.75" hidden="1" thickBot="1" x14ac:dyDescent="0.3">
      <c r="A1027" s="112" t="s">
        <v>3686</v>
      </c>
      <c r="B1027" s="112" t="s">
        <v>2412</v>
      </c>
      <c r="C1027" s="128" t="s">
        <v>3682</v>
      </c>
      <c r="D1027" s="112">
        <v>8</v>
      </c>
      <c r="E1027" s="112" t="s">
        <v>1915</v>
      </c>
      <c r="F1027" s="113"/>
      <c r="G1027" s="112" t="s">
        <v>3234</v>
      </c>
      <c r="H1027" s="112" t="s">
        <v>58</v>
      </c>
      <c r="I1027" s="113" t="s">
        <v>3235</v>
      </c>
    </row>
    <row r="1028" spans="1:9" ht="15.75" hidden="1" thickBot="1" x14ac:dyDescent="0.3">
      <c r="A1028" s="109" t="s">
        <v>3687</v>
      </c>
      <c r="B1028" s="109" t="s">
        <v>1953</v>
      </c>
      <c r="C1028" s="128" t="s">
        <v>3682</v>
      </c>
      <c r="D1028" s="109">
        <v>8</v>
      </c>
      <c r="E1028" s="109" t="s">
        <v>1915</v>
      </c>
      <c r="F1028" s="109" t="s">
        <v>2173</v>
      </c>
      <c r="G1028" s="109" t="s">
        <v>2691</v>
      </c>
      <c r="H1028" s="109" t="s">
        <v>58</v>
      </c>
      <c r="I1028" s="109" t="s">
        <v>2692</v>
      </c>
    </row>
    <row r="1029" spans="1:9" ht="51.75" hidden="1" thickBot="1" x14ac:dyDescent="0.3">
      <c r="A1029" s="112" t="s">
        <v>3688</v>
      </c>
      <c r="B1029" s="112" t="s">
        <v>1953</v>
      </c>
      <c r="C1029" s="128" t="s">
        <v>3682</v>
      </c>
      <c r="D1029" s="112">
        <v>8</v>
      </c>
      <c r="E1029" s="112" t="s">
        <v>1915</v>
      </c>
      <c r="F1029" s="113" t="s">
        <v>3689</v>
      </c>
      <c r="G1029" s="112" t="s">
        <v>2723</v>
      </c>
      <c r="H1029" s="112" t="s">
        <v>58</v>
      </c>
      <c r="I1029" s="113" t="s">
        <v>2692</v>
      </c>
    </row>
    <row r="1030" spans="1:9" ht="26.25" hidden="1" thickBot="1" x14ac:dyDescent="0.3">
      <c r="A1030" s="109" t="s">
        <v>422</v>
      </c>
      <c r="B1030" s="109" t="s">
        <v>2048</v>
      </c>
      <c r="C1030" s="128" t="s">
        <v>3682</v>
      </c>
      <c r="D1030" s="109">
        <v>8</v>
      </c>
      <c r="E1030" s="109" t="s">
        <v>1915</v>
      </c>
      <c r="F1030" s="114"/>
      <c r="G1030" s="109" t="s">
        <v>1917</v>
      </c>
      <c r="H1030" s="109"/>
      <c r="I1030" s="109" t="s">
        <v>3690</v>
      </c>
    </row>
    <row r="1031" spans="1:9" ht="77.25" hidden="1" thickBot="1" x14ac:dyDescent="0.3">
      <c r="A1031" s="112" t="s">
        <v>3691</v>
      </c>
      <c r="B1031" s="112" t="s">
        <v>1895</v>
      </c>
      <c r="C1031" s="128" t="s">
        <v>3682</v>
      </c>
      <c r="D1031" s="112">
        <v>8</v>
      </c>
      <c r="E1031" s="112" t="s">
        <v>1915</v>
      </c>
      <c r="F1031" s="113"/>
      <c r="G1031" s="112" t="s">
        <v>2842</v>
      </c>
      <c r="H1031" s="112" t="s">
        <v>58</v>
      </c>
      <c r="I1031" s="113" t="s">
        <v>3692</v>
      </c>
    </row>
    <row r="1032" spans="1:9" ht="26.25" hidden="1" thickBot="1" x14ac:dyDescent="0.3">
      <c r="A1032" s="111" t="s">
        <v>3693</v>
      </c>
      <c r="B1032" s="109" t="s">
        <v>1895</v>
      </c>
      <c r="C1032" s="128" t="s">
        <v>3682</v>
      </c>
      <c r="D1032" s="109">
        <v>8</v>
      </c>
      <c r="E1032" s="109"/>
      <c r="F1032" s="109" t="s">
        <v>3682</v>
      </c>
      <c r="G1032" s="109" t="s">
        <v>2837</v>
      </c>
      <c r="H1032" s="109" t="s">
        <v>3682</v>
      </c>
      <c r="I1032" s="109"/>
    </row>
    <row r="1033" spans="1:9" ht="15.75" hidden="1" thickBot="1" x14ac:dyDescent="0.3">
      <c r="A1033" s="112" t="s">
        <v>3694</v>
      </c>
      <c r="B1033" s="112" t="s">
        <v>1895</v>
      </c>
      <c r="C1033" s="128" t="s">
        <v>3682</v>
      </c>
      <c r="D1033" s="112">
        <v>8</v>
      </c>
      <c r="E1033" s="112" t="s">
        <v>1915</v>
      </c>
      <c r="F1033" s="113"/>
      <c r="G1033" s="112" t="s">
        <v>3695</v>
      </c>
      <c r="H1033" s="112" t="s">
        <v>58</v>
      </c>
      <c r="I1033" s="113" t="s">
        <v>2013</v>
      </c>
    </row>
    <row r="1034" spans="1:9" ht="15.75" hidden="1" thickBot="1" x14ac:dyDescent="0.3">
      <c r="A1034" s="129" t="s">
        <v>3696</v>
      </c>
      <c r="B1034" s="109" t="s">
        <v>1953</v>
      </c>
      <c r="C1034" s="128" t="s">
        <v>3682</v>
      </c>
      <c r="D1034" s="109">
        <v>8</v>
      </c>
      <c r="E1034" s="109"/>
      <c r="F1034" s="109" t="s">
        <v>1954</v>
      </c>
      <c r="G1034" s="130" t="s">
        <v>3697</v>
      </c>
      <c r="H1034" s="109"/>
      <c r="I1034" s="109" t="s">
        <v>3698</v>
      </c>
    </row>
    <row r="1035" spans="1:9" ht="15.75" hidden="1" thickBot="1" x14ac:dyDescent="0.3">
      <c r="A1035" s="112" t="s">
        <v>3699</v>
      </c>
      <c r="B1035" s="112" t="s">
        <v>1953</v>
      </c>
      <c r="C1035" s="128" t="s">
        <v>3682</v>
      </c>
      <c r="D1035" s="112">
        <v>8</v>
      </c>
      <c r="E1035" s="112" t="s">
        <v>1915</v>
      </c>
      <c r="F1035" s="113"/>
      <c r="G1035" s="112" t="s">
        <v>2387</v>
      </c>
      <c r="H1035" s="112"/>
      <c r="I1035" s="113" t="s">
        <v>3700</v>
      </c>
    </row>
    <row r="1036" spans="1:9" ht="26.25" hidden="1" thickBot="1" x14ac:dyDescent="0.3">
      <c r="A1036" s="109" t="s">
        <v>3701</v>
      </c>
      <c r="B1036" s="109" t="s">
        <v>1953</v>
      </c>
      <c r="C1036" s="128" t="s">
        <v>3682</v>
      </c>
      <c r="D1036" s="109">
        <v>8</v>
      </c>
      <c r="E1036" s="109" t="s">
        <v>1915</v>
      </c>
      <c r="F1036" s="109" t="s">
        <v>2482</v>
      </c>
      <c r="G1036" s="109" t="s">
        <v>3574</v>
      </c>
      <c r="H1036" s="114" t="s">
        <v>58</v>
      </c>
      <c r="I1036" s="109" t="s">
        <v>3702</v>
      </c>
    </row>
    <row r="1037" spans="1:9" ht="15.75" hidden="1" thickBot="1" x14ac:dyDescent="0.3">
      <c r="A1037" s="112" t="s">
        <v>3703</v>
      </c>
      <c r="B1037" s="112" t="s">
        <v>1895</v>
      </c>
      <c r="C1037" s="128" t="s">
        <v>3682</v>
      </c>
      <c r="D1037" s="112">
        <v>8</v>
      </c>
      <c r="E1037" s="112"/>
      <c r="F1037" s="113"/>
      <c r="G1037" s="112" t="s">
        <v>3704</v>
      </c>
      <c r="H1037" s="112" t="s">
        <v>58</v>
      </c>
      <c r="I1037" s="113" t="s">
        <v>3705</v>
      </c>
    </row>
    <row r="1038" spans="1:9" ht="15.75" hidden="1" thickBot="1" x14ac:dyDescent="0.3">
      <c r="A1038" s="109" t="s">
        <v>3706</v>
      </c>
      <c r="B1038" s="109" t="s">
        <v>1953</v>
      </c>
      <c r="C1038" s="128" t="s">
        <v>3682</v>
      </c>
      <c r="D1038" s="109">
        <v>8</v>
      </c>
      <c r="E1038" s="109" t="s">
        <v>3707</v>
      </c>
      <c r="F1038" s="109" t="s">
        <v>3708</v>
      </c>
      <c r="G1038" s="109" t="s">
        <v>3709</v>
      </c>
      <c r="H1038" s="114" t="s">
        <v>58</v>
      </c>
      <c r="I1038" s="109" t="s">
        <v>2013</v>
      </c>
    </row>
    <row r="1039" spans="1:9" ht="15.75" hidden="1" thickBot="1" x14ac:dyDescent="0.3">
      <c r="A1039" s="112" t="s">
        <v>3710</v>
      </c>
      <c r="B1039" s="112" t="s">
        <v>1895</v>
      </c>
      <c r="C1039" s="128" t="s">
        <v>3682</v>
      </c>
      <c r="D1039" s="112">
        <v>8</v>
      </c>
      <c r="E1039" s="112" t="s">
        <v>1915</v>
      </c>
      <c r="F1039" s="113"/>
      <c r="G1039" s="112" t="s">
        <v>2994</v>
      </c>
      <c r="H1039" s="112" t="s">
        <v>58</v>
      </c>
      <c r="I1039" s="113" t="s">
        <v>3711</v>
      </c>
    </row>
    <row r="1040" spans="1:9" ht="15.75" hidden="1" thickBot="1" x14ac:dyDescent="0.3">
      <c r="A1040" s="109" t="s">
        <v>3712</v>
      </c>
      <c r="B1040" s="109" t="s">
        <v>1895</v>
      </c>
      <c r="C1040" s="128" t="s">
        <v>3682</v>
      </c>
      <c r="D1040" s="109">
        <v>8</v>
      </c>
      <c r="E1040" s="109" t="s">
        <v>1915</v>
      </c>
      <c r="F1040" s="109"/>
      <c r="G1040" s="109" t="s">
        <v>2994</v>
      </c>
      <c r="H1040" s="109" t="s">
        <v>58</v>
      </c>
      <c r="I1040" s="109" t="s">
        <v>2995</v>
      </c>
    </row>
    <row r="1041" spans="1:9" ht="15.75" hidden="1" thickBot="1" x14ac:dyDescent="0.3">
      <c r="A1041" s="112" t="s">
        <v>3713</v>
      </c>
      <c r="B1041" s="112" t="s">
        <v>1895</v>
      </c>
      <c r="C1041" s="128" t="s">
        <v>3682</v>
      </c>
      <c r="D1041" s="112">
        <v>8</v>
      </c>
      <c r="E1041" s="112" t="s">
        <v>1915</v>
      </c>
      <c r="F1041" s="113" t="s">
        <v>1978</v>
      </c>
      <c r="G1041" s="112" t="s">
        <v>2220</v>
      </c>
      <c r="H1041" s="112" t="s">
        <v>58</v>
      </c>
      <c r="I1041" s="113" t="s">
        <v>3134</v>
      </c>
    </row>
    <row r="1042" spans="1:9" ht="15.75" hidden="1" thickBot="1" x14ac:dyDescent="0.3">
      <c r="A1042" s="109" t="s">
        <v>3714</v>
      </c>
      <c r="B1042" s="109" t="s">
        <v>1895</v>
      </c>
      <c r="C1042" s="128" t="s">
        <v>3682</v>
      </c>
      <c r="D1042" s="109">
        <v>8</v>
      </c>
      <c r="E1042" s="109"/>
      <c r="F1042" s="114"/>
      <c r="G1042" s="109" t="s">
        <v>3568</v>
      </c>
      <c r="H1042" s="109" t="s">
        <v>58</v>
      </c>
      <c r="I1042" s="109" t="s">
        <v>3715</v>
      </c>
    </row>
    <row r="1043" spans="1:9" ht="26.25" hidden="1" thickBot="1" x14ac:dyDescent="0.3">
      <c r="A1043" s="112" t="s">
        <v>3716</v>
      </c>
      <c r="B1043" s="112" t="s">
        <v>1953</v>
      </c>
      <c r="C1043" s="128" t="s">
        <v>3682</v>
      </c>
      <c r="D1043" s="112">
        <v>8</v>
      </c>
      <c r="E1043" s="112" t="s">
        <v>1915</v>
      </c>
      <c r="F1043" s="113" t="s">
        <v>3717</v>
      </c>
      <c r="G1043" s="112" t="s">
        <v>3574</v>
      </c>
      <c r="H1043" s="113" t="s">
        <v>58</v>
      </c>
      <c r="I1043" s="113" t="s">
        <v>3702</v>
      </c>
    </row>
    <row r="1044" spans="1:9" ht="15.75" hidden="1" thickBot="1" x14ac:dyDescent="0.3">
      <c r="A1044" s="109" t="s">
        <v>3718</v>
      </c>
      <c r="B1044" s="109" t="s">
        <v>1895</v>
      </c>
      <c r="C1044" s="128" t="s">
        <v>3682</v>
      </c>
      <c r="D1044" s="109">
        <v>8</v>
      </c>
      <c r="E1044" s="109" t="s">
        <v>1915</v>
      </c>
      <c r="F1044" s="109" t="s">
        <v>3719</v>
      </c>
      <c r="G1044" s="109" t="s">
        <v>3676</v>
      </c>
      <c r="H1044" s="109"/>
      <c r="I1044" s="109" t="s">
        <v>2692</v>
      </c>
    </row>
    <row r="1045" spans="1:9" ht="15.75" hidden="1" thickBot="1" x14ac:dyDescent="0.3">
      <c r="A1045" s="112" t="s">
        <v>3720</v>
      </c>
      <c r="B1045" s="112" t="s">
        <v>1895</v>
      </c>
      <c r="C1045" s="128" t="s">
        <v>3682</v>
      </c>
      <c r="D1045" s="112">
        <v>8</v>
      </c>
      <c r="E1045" s="112" t="s">
        <v>1915</v>
      </c>
      <c r="F1045" s="113"/>
      <c r="G1045" s="112" t="s">
        <v>3721</v>
      </c>
      <c r="H1045" s="112" t="s">
        <v>58</v>
      </c>
      <c r="I1045" s="113" t="s">
        <v>3639</v>
      </c>
    </row>
    <row r="1046" spans="1:9" ht="15.75" hidden="1" thickBot="1" x14ac:dyDescent="0.3">
      <c r="A1046" s="109" t="s">
        <v>3722</v>
      </c>
      <c r="B1046" s="109" t="s">
        <v>1895</v>
      </c>
      <c r="C1046" s="128" t="s">
        <v>3682</v>
      </c>
      <c r="D1046" s="109">
        <v>8</v>
      </c>
      <c r="E1046" s="109" t="s">
        <v>1915</v>
      </c>
      <c r="F1046" s="114"/>
      <c r="G1046" s="109" t="s">
        <v>2936</v>
      </c>
      <c r="H1046" s="109" t="s">
        <v>58</v>
      </c>
      <c r="I1046" s="109" t="s">
        <v>2696</v>
      </c>
    </row>
    <row r="1047" spans="1:9" ht="15.75" hidden="1" thickBot="1" x14ac:dyDescent="0.3">
      <c r="A1047" s="112" t="s">
        <v>3723</v>
      </c>
      <c r="B1047" s="112" t="s">
        <v>3724</v>
      </c>
      <c r="C1047" s="128" t="s">
        <v>3682</v>
      </c>
      <c r="D1047" s="112">
        <v>8</v>
      </c>
      <c r="E1047" s="112"/>
      <c r="F1047" s="113"/>
      <c r="G1047" s="112" t="s">
        <v>3725</v>
      </c>
      <c r="H1047" s="112" t="s">
        <v>58</v>
      </c>
      <c r="I1047" s="113" t="s">
        <v>2963</v>
      </c>
    </row>
    <row r="1048" spans="1:9" ht="15.75" hidden="1" thickBot="1" x14ac:dyDescent="0.3">
      <c r="A1048" s="109" t="s">
        <v>3726</v>
      </c>
      <c r="B1048" s="109" t="s">
        <v>1895</v>
      </c>
      <c r="C1048" s="128" t="s">
        <v>3682</v>
      </c>
      <c r="D1048" s="109">
        <v>8</v>
      </c>
      <c r="E1048" s="109" t="s">
        <v>1915</v>
      </c>
      <c r="F1048" s="114"/>
      <c r="G1048" s="109" t="s">
        <v>3727</v>
      </c>
      <c r="H1048" s="109" t="s">
        <v>58</v>
      </c>
      <c r="I1048" s="109" t="s">
        <v>2275</v>
      </c>
    </row>
    <row r="1049" spans="1:9" ht="26.25" hidden="1" thickBot="1" x14ac:dyDescent="0.3">
      <c r="A1049" s="112" t="s">
        <v>3728</v>
      </c>
      <c r="B1049" s="112" t="s">
        <v>1953</v>
      </c>
      <c r="C1049" s="128" t="s">
        <v>3682</v>
      </c>
      <c r="D1049" s="112">
        <v>8</v>
      </c>
      <c r="E1049" s="112" t="s">
        <v>1915</v>
      </c>
      <c r="F1049" s="113" t="s">
        <v>3682</v>
      </c>
      <c r="G1049" s="112" t="s">
        <v>2837</v>
      </c>
      <c r="H1049" s="112" t="s">
        <v>3682</v>
      </c>
      <c r="I1049" s="113" t="s">
        <v>2837</v>
      </c>
    </row>
    <row r="1050" spans="1:9" ht="26.25" hidden="1" thickBot="1" x14ac:dyDescent="0.3">
      <c r="A1050" s="109" t="s">
        <v>3729</v>
      </c>
      <c r="B1050" s="109" t="s">
        <v>1890</v>
      </c>
      <c r="C1050" s="128" t="s">
        <v>3682</v>
      </c>
      <c r="D1050" s="109">
        <v>8</v>
      </c>
      <c r="E1050" s="109" t="s">
        <v>1915</v>
      </c>
      <c r="F1050" s="109" t="s">
        <v>1982</v>
      </c>
      <c r="G1050" s="109" t="s">
        <v>3730</v>
      </c>
      <c r="H1050" s="109"/>
      <c r="I1050" s="109" t="s">
        <v>3731</v>
      </c>
    </row>
    <row r="1051" spans="1:9" ht="26.25" hidden="1" thickBot="1" x14ac:dyDescent="0.3">
      <c r="A1051" s="112" t="s">
        <v>3732</v>
      </c>
      <c r="B1051" s="112" t="s">
        <v>1953</v>
      </c>
      <c r="C1051" s="128" t="s">
        <v>3682</v>
      </c>
      <c r="D1051" s="112">
        <v>8</v>
      </c>
      <c r="E1051" s="112" t="s">
        <v>1915</v>
      </c>
      <c r="F1051" s="113" t="s">
        <v>3733</v>
      </c>
      <c r="G1051" s="112" t="s">
        <v>2998</v>
      </c>
      <c r="H1051" s="112"/>
      <c r="I1051" s="113" t="s">
        <v>3134</v>
      </c>
    </row>
    <row r="1052" spans="1:9" ht="15.75" hidden="1" thickBot="1" x14ac:dyDescent="0.3">
      <c r="A1052" s="109" t="s">
        <v>3734</v>
      </c>
      <c r="B1052" s="109" t="s">
        <v>1895</v>
      </c>
      <c r="C1052" s="128" t="s">
        <v>3682</v>
      </c>
      <c r="D1052" s="109">
        <v>8</v>
      </c>
      <c r="E1052" s="109"/>
      <c r="F1052" s="114"/>
      <c r="G1052" s="109" t="s">
        <v>3735</v>
      </c>
      <c r="H1052" s="109" t="s">
        <v>58</v>
      </c>
      <c r="I1052" s="109" t="s">
        <v>3736</v>
      </c>
    </row>
    <row r="1053" spans="1:9" ht="15.75" hidden="1" thickBot="1" x14ac:dyDescent="0.3">
      <c r="A1053" s="112" t="s">
        <v>3737</v>
      </c>
      <c r="B1053" s="112" t="s">
        <v>1895</v>
      </c>
      <c r="C1053" s="128" t="s">
        <v>3682</v>
      </c>
      <c r="D1053" s="112">
        <v>8</v>
      </c>
      <c r="E1053" s="112" t="s">
        <v>1915</v>
      </c>
      <c r="F1053" s="113"/>
      <c r="G1053" s="112" t="s">
        <v>2421</v>
      </c>
      <c r="H1053" s="112"/>
      <c r="I1053" s="113" t="s">
        <v>3700</v>
      </c>
    </row>
    <row r="1054" spans="1:9" ht="15.75" hidden="1" thickBot="1" x14ac:dyDescent="0.3">
      <c r="A1054" s="109" t="s">
        <v>3738</v>
      </c>
      <c r="B1054" s="109" t="s">
        <v>1953</v>
      </c>
      <c r="C1054" s="128" t="s">
        <v>3682</v>
      </c>
      <c r="D1054" s="109">
        <v>8</v>
      </c>
      <c r="E1054" s="109" t="s">
        <v>1915</v>
      </c>
      <c r="F1054" s="109" t="s">
        <v>2925</v>
      </c>
      <c r="G1054" s="109" t="s">
        <v>3739</v>
      </c>
      <c r="H1054" s="109" t="s">
        <v>58</v>
      </c>
      <c r="I1054" s="109" t="s">
        <v>3711</v>
      </c>
    </row>
    <row r="1055" spans="1:9" ht="39" hidden="1" thickBot="1" x14ac:dyDescent="0.3">
      <c r="A1055" s="112" t="s">
        <v>3740</v>
      </c>
      <c r="B1055" s="112" t="s">
        <v>1953</v>
      </c>
      <c r="C1055" s="128" t="s">
        <v>3682</v>
      </c>
      <c r="D1055" s="112">
        <v>8</v>
      </c>
      <c r="E1055" s="112" t="s">
        <v>1915</v>
      </c>
      <c r="F1055" s="113" t="s">
        <v>3741</v>
      </c>
      <c r="G1055" s="112" t="s">
        <v>3742</v>
      </c>
      <c r="H1055" s="112"/>
      <c r="I1055" s="113" t="s">
        <v>3743</v>
      </c>
    </row>
    <row r="1056" spans="1:9" ht="15.75" hidden="1" thickBot="1" x14ac:dyDescent="0.3">
      <c r="A1056" s="109" t="s">
        <v>3744</v>
      </c>
      <c r="B1056" s="109"/>
      <c r="C1056" s="128" t="s">
        <v>3682</v>
      </c>
      <c r="D1056" s="109">
        <v>8</v>
      </c>
      <c r="E1056" s="109"/>
      <c r="F1056" s="114"/>
      <c r="G1056" s="109"/>
      <c r="H1056" s="109"/>
      <c r="I1056" s="109" t="s">
        <v>2009</v>
      </c>
    </row>
    <row r="1057" spans="1:9" ht="26.25" hidden="1" thickBot="1" x14ac:dyDescent="0.3">
      <c r="A1057" s="112" t="s">
        <v>3745</v>
      </c>
      <c r="B1057" s="112" t="s">
        <v>1953</v>
      </c>
      <c r="C1057" s="128" t="s">
        <v>3682</v>
      </c>
      <c r="D1057" s="112">
        <v>8</v>
      </c>
      <c r="E1057" s="112" t="s">
        <v>1915</v>
      </c>
      <c r="F1057" s="113"/>
      <c r="G1057" s="112" t="s">
        <v>3746</v>
      </c>
      <c r="H1057" s="112" t="s">
        <v>58</v>
      </c>
      <c r="I1057" s="113" t="s">
        <v>3702</v>
      </c>
    </row>
    <row r="1058" spans="1:9" ht="15.75" hidden="1" thickBot="1" x14ac:dyDescent="0.3">
      <c r="A1058" s="111" t="s">
        <v>3747</v>
      </c>
      <c r="B1058" s="109" t="s">
        <v>1895</v>
      </c>
      <c r="C1058" s="128" t="s">
        <v>3682</v>
      </c>
      <c r="D1058" s="109">
        <v>8</v>
      </c>
      <c r="E1058" s="109" t="s">
        <v>3748</v>
      </c>
      <c r="F1058" s="114"/>
      <c r="G1058" s="109" t="s">
        <v>3748</v>
      </c>
      <c r="H1058" s="109" t="s">
        <v>58</v>
      </c>
      <c r="I1058" s="109"/>
    </row>
    <row r="1059" spans="1:9" ht="15.75" hidden="1" thickBot="1" x14ac:dyDescent="0.3">
      <c r="A1059" s="111" t="s">
        <v>3749</v>
      </c>
      <c r="B1059" s="112"/>
      <c r="C1059" s="128" t="s">
        <v>3682</v>
      </c>
      <c r="D1059" s="112">
        <v>8</v>
      </c>
      <c r="E1059" s="112"/>
      <c r="F1059" s="113"/>
      <c r="G1059" s="112"/>
      <c r="H1059" s="112"/>
      <c r="I1059" s="113"/>
    </row>
    <row r="1060" spans="1:9" ht="15.75" hidden="1" thickBot="1" x14ac:dyDescent="0.3">
      <c r="A1060" s="109" t="s">
        <v>3750</v>
      </c>
      <c r="B1060" s="109" t="s">
        <v>1953</v>
      </c>
      <c r="C1060" s="128" t="s">
        <v>3682</v>
      </c>
      <c r="D1060" s="109">
        <v>8</v>
      </c>
      <c r="E1060" s="109" t="s">
        <v>1915</v>
      </c>
      <c r="F1060" s="109"/>
      <c r="G1060" s="109" t="s">
        <v>2472</v>
      </c>
      <c r="H1060" s="109" t="s">
        <v>58</v>
      </c>
      <c r="I1060" s="109" t="s">
        <v>2638</v>
      </c>
    </row>
    <row r="1061" spans="1:9" ht="26.25" hidden="1" thickBot="1" x14ac:dyDescent="0.3">
      <c r="A1061" s="112" t="s">
        <v>3751</v>
      </c>
      <c r="B1061" s="112" t="s">
        <v>1953</v>
      </c>
      <c r="C1061" s="128" t="s">
        <v>3682</v>
      </c>
      <c r="D1061" s="112">
        <v>8</v>
      </c>
      <c r="E1061" s="112" t="s">
        <v>1915</v>
      </c>
      <c r="F1061" s="113" t="s">
        <v>3752</v>
      </c>
      <c r="G1061" s="112" t="s">
        <v>3746</v>
      </c>
      <c r="H1061" s="112" t="s">
        <v>58</v>
      </c>
      <c r="I1061" s="113" t="s">
        <v>3702</v>
      </c>
    </row>
    <row r="1062" spans="1:9" ht="39" hidden="1" thickBot="1" x14ac:dyDescent="0.3">
      <c r="A1062" s="109" t="s">
        <v>3753</v>
      </c>
      <c r="B1062" s="109" t="s">
        <v>1895</v>
      </c>
      <c r="C1062" s="128" t="s">
        <v>3682</v>
      </c>
      <c r="D1062" s="109">
        <v>8</v>
      </c>
      <c r="E1062" s="109" t="s">
        <v>1915</v>
      </c>
      <c r="F1062" s="109" t="s">
        <v>3754</v>
      </c>
      <c r="G1062" s="109" t="s">
        <v>3755</v>
      </c>
      <c r="H1062" s="109"/>
      <c r="I1062" s="109" t="s">
        <v>3756</v>
      </c>
    </row>
    <row r="1063" spans="1:9" ht="39" hidden="1" thickBot="1" x14ac:dyDescent="0.3">
      <c r="A1063" s="112" t="s">
        <v>3757</v>
      </c>
      <c r="B1063" s="112" t="s">
        <v>1895</v>
      </c>
      <c r="C1063" s="128" t="s">
        <v>3682</v>
      </c>
      <c r="D1063" s="112">
        <v>8</v>
      </c>
      <c r="E1063" s="112" t="s">
        <v>1915</v>
      </c>
      <c r="F1063" s="113" t="s">
        <v>3754</v>
      </c>
      <c r="G1063" s="112" t="s">
        <v>3758</v>
      </c>
      <c r="H1063" s="112"/>
      <c r="I1063" s="113" t="s">
        <v>3756</v>
      </c>
    </row>
    <row r="1064" spans="1:9" ht="15.75" hidden="1" thickBot="1" x14ac:dyDescent="0.3">
      <c r="A1064" s="111" t="s">
        <v>3759</v>
      </c>
      <c r="B1064" s="109" t="s">
        <v>1890</v>
      </c>
      <c r="C1064" s="131" t="s">
        <v>3760</v>
      </c>
      <c r="D1064" s="109">
        <v>9</v>
      </c>
      <c r="E1064" s="109"/>
      <c r="F1064" s="109"/>
      <c r="G1064" s="109" t="s">
        <v>3748</v>
      </c>
      <c r="H1064" s="109" t="s">
        <v>58</v>
      </c>
      <c r="I1064" s="109"/>
    </row>
    <row r="1065" spans="1:9" ht="15.75" hidden="1" thickBot="1" x14ac:dyDescent="0.3">
      <c r="A1065" s="112" t="s">
        <v>3761</v>
      </c>
      <c r="B1065" s="112" t="s">
        <v>1953</v>
      </c>
      <c r="C1065" s="131" t="s">
        <v>3760</v>
      </c>
      <c r="D1065" s="112">
        <v>9</v>
      </c>
      <c r="E1065" s="112" t="s">
        <v>1915</v>
      </c>
      <c r="F1065" s="113" t="s">
        <v>2765</v>
      </c>
      <c r="G1065" s="112" t="s">
        <v>2847</v>
      </c>
      <c r="H1065" s="112" t="s">
        <v>58</v>
      </c>
      <c r="I1065" s="113" t="s">
        <v>3762</v>
      </c>
    </row>
    <row r="1066" spans="1:9" ht="15.75" hidden="1" thickBot="1" x14ac:dyDescent="0.3">
      <c r="A1066" s="109" t="s">
        <v>3763</v>
      </c>
      <c r="B1066" s="109" t="s">
        <v>1953</v>
      </c>
      <c r="C1066" s="131" t="s">
        <v>3760</v>
      </c>
      <c r="D1066" s="109">
        <v>9</v>
      </c>
      <c r="E1066" s="109" t="s">
        <v>1915</v>
      </c>
      <c r="F1066" s="109" t="s">
        <v>3764</v>
      </c>
      <c r="G1066" s="109" t="s">
        <v>2403</v>
      </c>
      <c r="H1066" s="114" t="s">
        <v>58</v>
      </c>
      <c r="I1066" s="109" t="s">
        <v>3765</v>
      </c>
    </row>
    <row r="1067" spans="1:9" ht="15.75" hidden="1" thickBot="1" x14ac:dyDescent="0.3">
      <c r="A1067" s="111" t="s">
        <v>3766</v>
      </c>
      <c r="B1067" s="112" t="s">
        <v>1895</v>
      </c>
      <c r="C1067" s="131" t="s">
        <v>3760</v>
      </c>
      <c r="D1067" s="112">
        <v>9</v>
      </c>
      <c r="E1067" s="112"/>
      <c r="F1067" s="113"/>
      <c r="G1067" s="112" t="s">
        <v>3767</v>
      </c>
      <c r="H1067" s="112" t="s">
        <v>3768</v>
      </c>
      <c r="I1067" s="113"/>
    </row>
    <row r="1068" spans="1:9" ht="15.75" hidden="1" thickBot="1" x14ac:dyDescent="0.3">
      <c r="A1068" s="111" t="s">
        <v>3769</v>
      </c>
      <c r="B1068" s="109" t="s">
        <v>1895</v>
      </c>
      <c r="C1068" s="131" t="s">
        <v>3760</v>
      </c>
      <c r="D1068" s="109">
        <v>9</v>
      </c>
      <c r="E1068" s="109" t="s">
        <v>1915</v>
      </c>
      <c r="F1068" s="114"/>
      <c r="G1068" s="109" t="s">
        <v>3500</v>
      </c>
      <c r="H1068" s="109"/>
      <c r="I1068" s="109"/>
    </row>
    <row r="1069" spans="1:9" ht="15.75" hidden="1" thickBot="1" x14ac:dyDescent="0.3">
      <c r="A1069" s="111" t="s">
        <v>3770</v>
      </c>
      <c r="B1069" s="112" t="s">
        <v>1953</v>
      </c>
      <c r="C1069" s="131" t="s">
        <v>3760</v>
      </c>
      <c r="D1069" s="112">
        <v>9</v>
      </c>
      <c r="E1069" s="112" t="s">
        <v>1915</v>
      </c>
      <c r="F1069" s="113" t="s">
        <v>3771</v>
      </c>
      <c r="G1069" s="112" t="s">
        <v>2264</v>
      </c>
      <c r="H1069" s="112" t="s">
        <v>58</v>
      </c>
      <c r="I1069" s="113"/>
    </row>
    <row r="1070" spans="1:9" ht="26.25" hidden="1" thickBot="1" x14ac:dyDescent="0.3">
      <c r="A1070" s="109" t="s">
        <v>3772</v>
      </c>
      <c r="B1070" s="109" t="s">
        <v>1953</v>
      </c>
      <c r="C1070" s="131" t="s">
        <v>3760</v>
      </c>
      <c r="D1070" s="109">
        <v>9</v>
      </c>
      <c r="E1070" s="109" t="s">
        <v>1915</v>
      </c>
      <c r="F1070" s="109" t="s">
        <v>3430</v>
      </c>
      <c r="G1070" s="109" t="s">
        <v>3748</v>
      </c>
      <c r="H1070" s="109" t="s">
        <v>58</v>
      </c>
      <c r="I1070" s="109" t="s">
        <v>3773</v>
      </c>
    </row>
    <row r="1071" spans="1:9" ht="15.75" hidden="1" thickBot="1" x14ac:dyDescent="0.3">
      <c r="A1071" s="111" t="s">
        <v>1141</v>
      </c>
      <c r="B1071" s="112" t="s">
        <v>1895</v>
      </c>
      <c r="C1071" s="131" t="s">
        <v>3760</v>
      </c>
      <c r="D1071" s="112">
        <v>9</v>
      </c>
      <c r="E1071" s="112" t="s">
        <v>1915</v>
      </c>
      <c r="F1071" s="113"/>
      <c r="G1071" s="112" t="s">
        <v>3440</v>
      </c>
      <c r="H1071" s="112"/>
      <c r="I1071" s="113"/>
    </row>
    <row r="1072" spans="1:9" ht="15.75" hidden="1" thickBot="1" x14ac:dyDescent="0.3">
      <c r="A1072" s="111" t="s">
        <v>3774</v>
      </c>
      <c r="B1072" s="109" t="s">
        <v>1895</v>
      </c>
      <c r="C1072" s="131" t="s">
        <v>3760</v>
      </c>
      <c r="D1072" s="109">
        <v>9</v>
      </c>
      <c r="E1072" s="109" t="s">
        <v>1915</v>
      </c>
      <c r="F1072" s="114"/>
      <c r="G1072" s="109" t="s">
        <v>3775</v>
      </c>
      <c r="H1072" s="109" t="s">
        <v>58</v>
      </c>
      <c r="I1072" s="109"/>
    </row>
    <row r="1073" spans="1:9" ht="15.75" hidden="1" thickBot="1" x14ac:dyDescent="0.3">
      <c r="A1073" s="111" t="s">
        <v>3776</v>
      </c>
      <c r="B1073" s="112"/>
      <c r="C1073" s="131" t="s">
        <v>3760</v>
      </c>
      <c r="D1073" s="112">
        <v>9</v>
      </c>
      <c r="E1073" s="112"/>
      <c r="F1073" s="113"/>
      <c r="G1073" s="112"/>
      <c r="H1073" s="112"/>
      <c r="I1073" s="113"/>
    </row>
    <row r="1074" spans="1:9" ht="15.75" hidden="1" thickBot="1" x14ac:dyDescent="0.3">
      <c r="A1074" s="111" t="s">
        <v>3777</v>
      </c>
      <c r="B1074" s="109"/>
      <c r="C1074" s="131" t="s">
        <v>3760</v>
      </c>
      <c r="D1074" s="109">
        <v>9</v>
      </c>
      <c r="E1074" s="109"/>
      <c r="F1074" s="114"/>
      <c r="G1074" s="109"/>
      <c r="H1074" s="109"/>
      <c r="I1074" s="109"/>
    </row>
    <row r="1075" spans="1:9" ht="15.75" hidden="1" thickBot="1" x14ac:dyDescent="0.3">
      <c r="A1075" s="111" t="s">
        <v>3778</v>
      </c>
      <c r="B1075" s="112" t="s">
        <v>1895</v>
      </c>
      <c r="C1075" s="131" t="s">
        <v>3760</v>
      </c>
      <c r="D1075" s="112">
        <v>9</v>
      </c>
      <c r="E1075" s="112" t="s">
        <v>1915</v>
      </c>
      <c r="F1075" s="113" t="s">
        <v>3779</v>
      </c>
      <c r="G1075" s="112" t="s">
        <v>3568</v>
      </c>
      <c r="H1075" s="112" t="s">
        <v>58</v>
      </c>
      <c r="I1075" s="113"/>
    </row>
    <row r="1076" spans="1:9" ht="39" hidden="1" thickBot="1" x14ac:dyDescent="0.3">
      <c r="A1076" s="109" t="s">
        <v>3780</v>
      </c>
      <c r="B1076" s="109" t="s">
        <v>1895</v>
      </c>
      <c r="C1076" s="131" t="s">
        <v>3760</v>
      </c>
      <c r="D1076" s="109">
        <v>9</v>
      </c>
      <c r="E1076" s="109"/>
      <c r="F1076" s="114"/>
      <c r="G1076" s="109" t="s">
        <v>2329</v>
      </c>
      <c r="H1076" s="109" t="s">
        <v>3781</v>
      </c>
      <c r="I1076" s="109" t="s">
        <v>3782</v>
      </c>
    </row>
    <row r="1077" spans="1:9" ht="26.25" hidden="1" thickBot="1" x14ac:dyDescent="0.3">
      <c r="A1077" s="112" t="s">
        <v>3783</v>
      </c>
      <c r="B1077" s="112" t="s">
        <v>1895</v>
      </c>
      <c r="C1077" s="131" t="s">
        <v>3760</v>
      </c>
      <c r="D1077" s="112">
        <v>9</v>
      </c>
      <c r="E1077" s="112" t="s">
        <v>1915</v>
      </c>
      <c r="F1077" s="113"/>
      <c r="G1077" s="112" t="s">
        <v>2842</v>
      </c>
      <c r="H1077" s="112" t="s">
        <v>58</v>
      </c>
      <c r="I1077" s="113" t="s">
        <v>3784</v>
      </c>
    </row>
    <row r="1078" spans="1:9" ht="15.75" hidden="1" thickBot="1" x14ac:dyDescent="0.3">
      <c r="A1078" s="109" t="s">
        <v>3785</v>
      </c>
      <c r="B1078" s="109" t="s">
        <v>1895</v>
      </c>
      <c r="C1078" s="131" t="s">
        <v>3760</v>
      </c>
      <c r="D1078" s="109">
        <v>9</v>
      </c>
      <c r="E1078" s="109" t="s">
        <v>1915</v>
      </c>
      <c r="F1078" s="109"/>
      <c r="G1078" s="109" t="s">
        <v>2440</v>
      </c>
      <c r="H1078" s="109" t="s">
        <v>58</v>
      </c>
      <c r="I1078" s="109" t="s">
        <v>2783</v>
      </c>
    </row>
    <row r="1079" spans="1:9" ht="15.75" hidden="1" thickBot="1" x14ac:dyDescent="0.3">
      <c r="A1079" s="111" t="s">
        <v>3786</v>
      </c>
      <c r="B1079" s="112" t="s">
        <v>3787</v>
      </c>
      <c r="C1079" s="131" t="s">
        <v>3760</v>
      </c>
      <c r="D1079" s="112">
        <v>9</v>
      </c>
      <c r="E1079" s="112"/>
      <c r="F1079" s="113"/>
      <c r="G1079" s="112" t="s">
        <v>2390</v>
      </c>
      <c r="H1079" s="112" t="s">
        <v>58</v>
      </c>
      <c r="I1079" s="113"/>
    </row>
    <row r="1080" spans="1:9" ht="15.75" hidden="1" thickBot="1" x14ac:dyDescent="0.3">
      <c r="A1080" s="111" t="s">
        <v>3788</v>
      </c>
      <c r="B1080" s="109" t="s">
        <v>1890</v>
      </c>
      <c r="C1080" s="131" t="s">
        <v>3760</v>
      </c>
      <c r="D1080" s="109">
        <v>9</v>
      </c>
      <c r="E1080" s="109"/>
      <c r="F1080" s="114"/>
      <c r="G1080" s="109"/>
      <c r="H1080" s="109"/>
      <c r="I1080" s="109"/>
    </row>
    <row r="1081" spans="1:9" ht="15.75" hidden="1" thickBot="1" x14ac:dyDescent="0.3">
      <c r="A1081" s="111" t="s">
        <v>3789</v>
      </c>
      <c r="B1081" s="112" t="s">
        <v>2412</v>
      </c>
      <c r="C1081" s="131" t="s">
        <v>3760</v>
      </c>
      <c r="D1081" s="112">
        <v>9</v>
      </c>
      <c r="E1081" s="112" t="s">
        <v>1915</v>
      </c>
      <c r="F1081" s="113"/>
      <c r="G1081" s="112" t="s">
        <v>2355</v>
      </c>
      <c r="H1081" s="112" t="s">
        <v>58</v>
      </c>
      <c r="I1081" s="113"/>
    </row>
    <row r="1082" spans="1:9" ht="15.75" hidden="1" thickBot="1" x14ac:dyDescent="0.3">
      <c r="A1082" s="109" t="s">
        <v>3790</v>
      </c>
      <c r="B1082" s="109" t="s">
        <v>1953</v>
      </c>
      <c r="C1082" s="131" t="s">
        <v>3760</v>
      </c>
      <c r="D1082" s="109">
        <v>9</v>
      </c>
      <c r="E1082" s="109"/>
      <c r="F1082" s="114"/>
      <c r="G1082" s="109"/>
      <c r="H1082" s="109"/>
      <c r="I1082" s="109" t="s">
        <v>3791</v>
      </c>
    </row>
    <row r="1083" spans="1:9" ht="26.25" hidden="1" thickBot="1" x14ac:dyDescent="0.3">
      <c r="A1083" s="112" t="s">
        <v>3792</v>
      </c>
      <c r="B1083" s="112" t="s">
        <v>1895</v>
      </c>
      <c r="C1083" s="131" t="s">
        <v>3760</v>
      </c>
      <c r="D1083" s="112">
        <v>9</v>
      </c>
      <c r="E1083" s="112" t="s">
        <v>1915</v>
      </c>
      <c r="F1083" s="113"/>
      <c r="G1083" s="112" t="s">
        <v>3793</v>
      </c>
      <c r="H1083" s="112" t="s">
        <v>58</v>
      </c>
      <c r="I1083" s="113" t="s">
        <v>3794</v>
      </c>
    </row>
    <row r="1084" spans="1:9" ht="15.75" hidden="1" thickBot="1" x14ac:dyDescent="0.3">
      <c r="A1084" s="109" t="s">
        <v>3795</v>
      </c>
      <c r="B1084" s="109" t="s">
        <v>1895</v>
      </c>
      <c r="C1084" s="131" t="s">
        <v>3760</v>
      </c>
      <c r="D1084" s="109">
        <v>9</v>
      </c>
      <c r="E1084" s="109"/>
      <c r="F1084" s="114"/>
      <c r="G1084" s="109" t="s">
        <v>3796</v>
      </c>
      <c r="H1084" s="109" t="s">
        <v>58</v>
      </c>
      <c r="I1084" s="109" t="s">
        <v>2848</v>
      </c>
    </row>
    <row r="1085" spans="1:9" ht="15.75" hidden="1" thickBot="1" x14ac:dyDescent="0.3">
      <c r="A1085" s="112" t="s">
        <v>3797</v>
      </c>
      <c r="B1085" s="112" t="s">
        <v>1895</v>
      </c>
      <c r="C1085" s="131" t="s">
        <v>3760</v>
      </c>
      <c r="D1085" s="112">
        <v>9</v>
      </c>
      <c r="E1085" s="112" t="s">
        <v>3707</v>
      </c>
      <c r="F1085" s="113"/>
      <c r="G1085" s="112" t="s">
        <v>3038</v>
      </c>
      <c r="H1085" s="112"/>
      <c r="I1085" s="113" t="s">
        <v>3798</v>
      </c>
    </row>
    <row r="1086" spans="1:9" ht="15.75" hidden="1" thickBot="1" x14ac:dyDescent="0.3">
      <c r="A1086" s="111" t="s">
        <v>3799</v>
      </c>
      <c r="B1086" s="109" t="s">
        <v>1895</v>
      </c>
      <c r="C1086" s="131" t="s">
        <v>3760</v>
      </c>
      <c r="D1086" s="109">
        <v>9</v>
      </c>
      <c r="E1086" s="109" t="s">
        <v>1915</v>
      </c>
      <c r="F1086" s="114"/>
      <c r="G1086" s="109" t="s">
        <v>3038</v>
      </c>
      <c r="H1086" s="109" t="s">
        <v>58</v>
      </c>
      <c r="I1086" s="109"/>
    </row>
    <row r="1087" spans="1:9" ht="26.25" hidden="1" thickBot="1" x14ac:dyDescent="0.3">
      <c r="A1087" s="112" t="s">
        <v>3800</v>
      </c>
      <c r="B1087" s="112" t="s">
        <v>1895</v>
      </c>
      <c r="C1087" s="131" t="s">
        <v>3760</v>
      </c>
      <c r="D1087" s="112">
        <v>9</v>
      </c>
      <c r="E1087" s="112"/>
      <c r="F1087" s="113"/>
      <c r="G1087" s="112" t="s">
        <v>3016</v>
      </c>
      <c r="H1087" s="112" t="s">
        <v>3801</v>
      </c>
      <c r="I1087" s="113" t="s">
        <v>3802</v>
      </c>
    </row>
    <row r="1088" spans="1:9" ht="26.25" hidden="1" thickBot="1" x14ac:dyDescent="0.3">
      <c r="A1088" s="109" t="s">
        <v>3803</v>
      </c>
      <c r="B1088" s="109" t="s">
        <v>2005</v>
      </c>
      <c r="C1088" s="131" t="s">
        <v>3760</v>
      </c>
      <c r="D1088" s="109">
        <v>9</v>
      </c>
      <c r="E1088" s="109" t="s">
        <v>1915</v>
      </c>
      <c r="F1088" s="109" t="s">
        <v>3430</v>
      </c>
      <c r="G1088" s="109" t="s">
        <v>3000</v>
      </c>
      <c r="H1088" s="109" t="s">
        <v>58</v>
      </c>
      <c r="I1088" s="109" t="s">
        <v>2848</v>
      </c>
    </row>
    <row r="1089" spans="1:9" ht="15.75" hidden="1" thickBot="1" x14ac:dyDescent="0.3">
      <c r="A1089" s="111" t="s">
        <v>3804</v>
      </c>
      <c r="B1089" s="112" t="s">
        <v>1895</v>
      </c>
      <c r="C1089" s="131" t="s">
        <v>3760</v>
      </c>
      <c r="D1089" s="112">
        <v>9</v>
      </c>
      <c r="E1089" s="112" t="s">
        <v>1915</v>
      </c>
      <c r="F1089" s="113" t="s">
        <v>3779</v>
      </c>
      <c r="G1089" s="112" t="s">
        <v>3052</v>
      </c>
      <c r="H1089" s="112" t="s">
        <v>3805</v>
      </c>
      <c r="I1089" s="113"/>
    </row>
    <row r="1090" spans="1:9" ht="15.75" hidden="1" thickBot="1" x14ac:dyDescent="0.3">
      <c r="A1090" s="111" t="s">
        <v>3806</v>
      </c>
      <c r="B1090" s="109" t="s">
        <v>1895</v>
      </c>
      <c r="C1090" s="131" t="s">
        <v>3760</v>
      </c>
      <c r="D1090" s="109">
        <v>9</v>
      </c>
      <c r="E1090" s="109"/>
      <c r="F1090" s="114"/>
      <c r="G1090" s="109" t="s">
        <v>2497</v>
      </c>
      <c r="H1090" s="109" t="s">
        <v>3807</v>
      </c>
      <c r="I1090" s="109"/>
    </row>
    <row r="1091" spans="1:9" ht="15.75" hidden="1" thickBot="1" x14ac:dyDescent="0.3">
      <c r="A1091" s="112" t="s">
        <v>3808</v>
      </c>
      <c r="B1091" s="112" t="s">
        <v>1895</v>
      </c>
      <c r="C1091" s="131" t="s">
        <v>3760</v>
      </c>
      <c r="D1091" s="112">
        <v>9</v>
      </c>
      <c r="E1091" s="112"/>
      <c r="F1091" s="113"/>
      <c r="G1091" s="112" t="s">
        <v>3809</v>
      </c>
      <c r="H1091" s="112" t="s">
        <v>58</v>
      </c>
      <c r="I1091" s="113" t="s">
        <v>3810</v>
      </c>
    </row>
  </sheetData>
  <autoFilter ref="A1:I1091" xr:uid="{54FAC62A-7A0A-4C10-A42B-C3B66DCD81D7}">
    <filterColumn colId="2">
      <filters>
        <filter val="Rare"/>
      </filters>
    </filterColumn>
    <filterColumn colId="8">
      <customFilters>
        <customFilter operator="notEqual" val=" "/>
      </customFilters>
    </filterColumn>
  </autoFilter>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CCDDC-C59B-4DFB-8EDC-B2EF13A99DA2}">
  <dimension ref="A1:N41"/>
  <sheetViews>
    <sheetView workbookViewId="0">
      <selection activeCell="A27" sqref="A27"/>
    </sheetView>
  </sheetViews>
  <sheetFormatPr defaultRowHeight="15" x14ac:dyDescent="0.25"/>
  <cols>
    <col min="1" max="1" width="29.5703125" customWidth="1"/>
    <col min="2" max="2" width="13.5703125" customWidth="1"/>
    <col min="3" max="3" width="13.7109375" customWidth="1"/>
  </cols>
  <sheetData>
    <row r="1" spans="1:9" ht="51.75" thickBot="1" x14ac:dyDescent="0.3">
      <c r="A1" s="132" t="s">
        <v>1880</v>
      </c>
      <c r="B1" s="132" t="s">
        <v>1881</v>
      </c>
      <c r="C1" s="133" t="s">
        <v>1882</v>
      </c>
      <c r="D1" s="132" t="s">
        <v>1883</v>
      </c>
      <c r="E1" s="132" t="s">
        <v>1884</v>
      </c>
      <c r="F1" s="132" t="s">
        <v>1885</v>
      </c>
      <c r="G1" s="132" t="s">
        <v>1886</v>
      </c>
      <c r="H1" s="132" t="s">
        <v>1887</v>
      </c>
      <c r="I1" s="132" t="s">
        <v>1888</v>
      </c>
    </row>
    <row r="2" spans="1:9" ht="26.25" thickBot="1" x14ac:dyDescent="0.3">
      <c r="A2" s="140" t="s">
        <v>2167</v>
      </c>
      <c r="B2" s="109" t="s">
        <v>1895</v>
      </c>
      <c r="C2" s="115" t="s">
        <v>884</v>
      </c>
      <c r="D2" s="109">
        <v>2</v>
      </c>
      <c r="E2" s="109" t="s">
        <v>1915</v>
      </c>
      <c r="F2" s="114"/>
      <c r="G2" s="109" t="s">
        <v>1950</v>
      </c>
      <c r="H2" s="109"/>
      <c r="I2" s="109"/>
    </row>
    <row r="3" spans="1:9" ht="26.25" thickBot="1" x14ac:dyDescent="0.3">
      <c r="A3" s="140" t="s">
        <v>2240</v>
      </c>
      <c r="B3" s="109" t="s">
        <v>1895</v>
      </c>
      <c r="C3" s="115" t="s">
        <v>884</v>
      </c>
      <c r="D3" s="109">
        <v>2</v>
      </c>
      <c r="E3" s="109"/>
      <c r="F3" s="114"/>
      <c r="G3" s="109" t="s">
        <v>2241</v>
      </c>
      <c r="H3" s="109" t="s">
        <v>2242</v>
      </c>
      <c r="I3" s="109"/>
    </row>
    <row r="4" spans="1:9" ht="26.25" thickBot="1" x14ac:dyDescent="0.3">
      <c r="A4" s="111" t="s">
        <v>2458</v>
      </c>
      <c r="B4" s="109" t="s">
        <v>1895</v>
      </c>
      <c r="C4" s="115" t="s">
        <v>884</v>
      </c>
      <c r="D4" s="109">
        <v>2</v>
      </c>
      <c r="E4" s="109"/>
      <c r="F4" s="114"/>
      <c r="G4" s="109" t="s">
        <v>1950</v>
      </c>
      <c r="H4" s="109"/>
      <c r="I4" s="109"/>
    </row>
    <row r="5" spans="1:9" ht="26.25" thickBot="1" x14ac:dyDescent="0.3">
      <c r="A5" s="111" t="s">
        <v>2459</v>
      </c>
      <c r="B5" s="112" t="s">
        <v>1895</v>
      </c>
      <c r="C5" s="115" t="s">
        <v>884</v>
      </c>
      <c r="D5" s="112">
        <v>2</v>
      </c>
      <c r="E5" s="112"/>
      <c r="F5" s="113"/>
      <c r="G5" s="112" t="s">
        <v>1950</v>
      </c>
      <c r="H5" s="112"/>
      <c r="I5" s="113"/>
    </row>
    <row r="6" spans="1:9" ht="27" thickBot="1" x14ac:dyDescent="0.3">
      <c r="A6" s="140" t="s">
        <v>2587</v>
      </c>
      <c r="B6" s="119" t="s">
        <v>1895</v>
      </c>
      <c r="C6" s="122" t="s">
        <v>593</v>
      </c>
      <c r="D6" s="109">
        <v>3</v>
      </c>
      <c r="E6" s="119" t="s">
        <v>1915</v>
      </c>
      <c r="F6" s="120" t="s">
        <v>2030</v>
      </c>
      <c r="G6" s="119" t="s">
        <v>1950</v>
      </c>
      <c r="H6" s="119"/>
      <c r="I6" s="109"/>
    </row>
    <row r="7" spans="1:9" ht="27" thickBot="1" x14ac:dyDescent="0.3">
      <c r="A7" s="141" t="s">
        <v>2591</v>
      </c>
      <c r="B7" s="119" t="s">
        <v>1895</v>
      </c>
      <c r="C7" s="122" t="s">
        <v>593</v>
      </c>
      <c r="D7" s="109">
        <v>3</v>
      </c>
      <c r="E7" s="119" t="s">
        <v>1915</v>
      </c>
      <c r="F7" s="120" t="s">
        <v>2035</v>
      </c>
      <c r="G7" s="119" t="s">
        <v>1950</v>
      </c>
      <c r="H7" s="120"/>
      <c r="I7" s="109"/>
    </row>
    <row r="8" spans="1:9" ht="27" thickBot="1" x14ac:dyDescent="0.3">
      <c r="A8" s="141" t="s">
        <v>2592</v>
      </c>
      <c r="B8" s="116" t="s">
        <v>1895</v>
      </c>
      <c r="C8" s="122" t="s">
        <v>593</v>
      </c>
      <c r="D8" s="112">
        <v>3</v>
      </c>
      <c r="E8" s="116" t="s">
        <v>1915</v>
      </c>
      <c r="F8" s="118" t="s">
        <v>2038</v>
      </c>
      <c r="G8" s="116" t="s">
        <v>1950</v>
      </c>
      <c r="H8" s="116"/>
      <c r="I8" s="113"/>
    </row>
    <row r="9" spans="1:9" ht="26.25" thickBot="1" x14ac:dyDescent="0.3">
      <c r="A9" s="141" t="s">
        <v>862</v>
      </c>
      <c r="B9" s="109" t="s">
        <v>1895</v>
      </c>
      <c r="C9" s="121" t="s">
        <v>593</v>
      </c>
      <c r="D9" s="109">
        <v>3</v>
      </c>
      <c r="E9" s="109" t="s">
        <v>1915</v>
      </c>
      <c r="F9" s="109" t="s">
        <v>2038</v>
      </c>
      <c r="G9" s="109" t="s">
        <v>1950</v>
      </c>
      <c r="H9" s="109"/>
      <c r="I9" s="109"/>
    </row>
    <row r="10" spans="1:9" ht="26.25" thickBot="1" x14ac:dyDescent="0.3">
      <c r="A10" s="140" t="s">
        <v>2697</v>
      </c>
      <c r="B10" s="109" t="s">
        <v>1895</v>
      </c>
      <c r="C10" s="121" t="s">
        <v>593</v>
      </c>
      <c r="D10" s="109">
        <v>3</v>
      </c>
      <c r="E10" s="109" t="s">
        <v>1915</v>
      </c>
      <c r="F10" s="114"/>
      <c r="G10" s="109" t="s">
        <v>1950</v>
      </c>
      <c r="H10" s="109"/>
      <c r="I10" s="109"/>
    </row>
    <row r="11" spans="1:9" ht="26.25" thickBot="1" x14ac:dyDescent="0.3">
      <c r="A11" s="140" t="s">
        <v>868</v>
      </c>
      <c r="B11" s="112" t="s">
        <v>1895</v>
      </c>
      <c r="C11" s="121" t="s">
        <v>593</v>
      </c>
      <c r="D11" s="112">
        <v>3</v>
      </c>
      <c r="E11" s="112" t="s">
        <v>1915</v>
      </c>
      <c r="F11" s="113" t="s">
        <v>2035</v>
      </c>
      <c r="G11" s="112" t="s">
        <v>1950</v>
      </c>
      <c r="H11" s="112"/>
      <c r="I11" s="113"/>
    </row>
    <row r="12" spans="1:9" ht="26.25" thickBot="1" x14ac:dyDescent="0.3">
      <c r="A12" s="140" t="s">
        <v>858</v>
      </c>
      <c r="B12" s="112" t="s">
        <v>1895</v>
      </c>
      <c r="C12" s="121" t="s">
        <v>593</v>
      </c>
      <c r="D12" s="112">
        <v>3</v>
      </c>
      <c r="E12" s="112" t="s">
        <v>1915</v>
      </c>
      <c r="F12" s="113" t="s">
        <v>2035</v>
      </c>
      <c r="G12" s="112" t="s">
        <v>1950</v>
      </c>
      <c r="H12" s="112"/>
      <c r="I12" s="113"/>
    </row>
    <row r="13" spans="1:9" ht="26.25" thickBot="1" x14ac:dyDescent="0.3">
      <c r="A13" s="140" t="s">
        <v>820</v>
      </c>
      <c r="B13" s="109" t="s">
        <v>1895</v>
      </c>
      <c r="C13" s="121" t="s">
        <v>593</v>
      </c>
      <c r="D13" s="109">
        <v>3</v>
      </c>
      <c r="E13" s="109" t="s">
        <v>1915</v>
      </c>
      <c r="F13" s="109" t="s">
        <v>2035</v>
      </c>
      <c r="G13" s="109" t="s">
        <v>1950</v>
      </c>
      <c r="H13" s="109"/>
      <c r="I13" s="109"/>
    </row>
    <row r="14" spans="1:9" ht="26.25" thickBot="1" x14ac:dyDescent="0.3">
      <c r="A14" s="140" t="s">
        <v>3811</v>
      </c>
      <c r="B14" s="112" t="s">
        <v>1895</v>
      </c>
      <c r="C14" s="121" t="s">
        <v>593</v>
      </c>
      <c r="D14" s="112">
        <v>3</v>
      </c>
      <c r="E14" s="112" t="s">
        <v>1915</v>
      </c>
      <c r="F14" s="113" t="s">
        <v>2038</v>
      </c>
      <c r="G14" s="112" t="s">
        <v>1950</v>
      </c>
      <c r="H14" s="112"/>
      <c r="I14" s="113"/>
    </row>
    <row r="15" spans="1:9" ht="26.25" thickBot="1" x14ac:dyDescent="0.3">
      <c r="A15" s="140" t="s">
        <v>3812</v>
      </c>
      <c r="B15" s="112" t="s">
        <v>1895</v>
      </c>
      <c r="C15" s="121" t="s">
        <v>593</v>
      </c>
      <c r="D15" s="112">
        <v>3</v>
      </c>
      <c r="E15" s="112" t="s">
        <v>1915</v>
      </c>
      <c r="F15" s="113" t="s">
        <v>2038</v>
      </c>
      <c r="G15" s="112" t="s">
        <v>1950</v>
      </c>
      <c r="H15" s="112"/>
      <c r="I15" s="113"/>
    </row>
    <row r="16" spans="1:9" ht="26.25" thickBot="1" x14ac:dyDescent="0.3">
      <c r="A16" s="140" t="s">
        <v>3813</v>
      </c>
      <c r="B16" s="112" t="s">
        <v>1895</v>
      </c>
      <c r="C16" s="121" t="s">
        <v>593</v>
      </c>
      <c r="D16" s="112">
        <v>3</v>
      </c>
      <c r="E16" s="112" t="s">
        <v>1915</v>
      </c>
      <c r="F16" s="113" t="s">
        <v>2038</v>
      </c>
      <c r="G16" s="112" t="s">
        <v>1950</v>
      </c>
      <c r="H16" s="112"/>
      <c r="I16" s="113"/>
    </row>
    <row r="17" spans="1:9" ht="26.25" thickBot="1" x14ac:dyDescent="0.3">
      <c r="A17" s="140" t="s">
        <v>3814</v>
      </c>
      <c r="B17" s="112" t="s">
        <v>1895</v>
      </c>
      <c r="C17" s="121" t="s">
        <v>593</v>
      </c>
      <c r="D17" s="112">
        <v>3</v>
      </c>
      <c r="E17" s="112" t="s">
        <v>1915</v>
      </c>
      <c r="F17" s="113" t="s">
        <v>2038</v>
      </c>
      <c r="G17" s="112" t="s">
        <v>1950</v>
      </c>
      <c r="H17" s="112"/>
      <c r="I17" s="113"/>
    </row>
    <row r="18" spans="1:9" ht="26.25" thickBot="1" x14ac:dyDescent="0.3">
      <c r="A18" s="140" t="s">
        <v>837</v>
      </c>
      <c r="B18" s="109" t="s">
        <v>1895</v>
      </c>
      <c r="C18" s="121" t="s">
        <v>593</v>
      </c>
      <c r="D18" s="109">
        <v>3</v>
      </c>
      <c r="E18" s="109" t="s">
        <v>1915</v>
      </c>
      <c r="F18" s="109" t="s">
        <v>2035</v>
      </c>
      <c r="G18" s="109" t="s">
        <v>1950</v>
      </c>
      <c r="H18" s="109"/>
      <c r="I18" s="109"/>
    </row>
    <row r="19" spans="1:9" ht="26.25" thickBot="1" x14ac:dyDescent="0.3">
      <c r="A19" s="140" t="s">
        <v>796</v>
      </c>
      <c r="B19" s="112" t="s">
        <v>1895</v>
      </c>
      <c r="C19" s="121" t="s">
        <v>593</v>
      </c>
      <c r="D19" s="112">
        <v>3</v>
      </c>
      <c r="E19" s="112" t="s">
        <v>1915</v>
      </c>
      <c r="F19" s="113" t="s">
        <v>2035</v>
      </c>
      <c r="G19" s="112" t="s">
        <v>1950</v>
      </c>
      <c r="H19" s="112"/>
      <c r="I19" s="113"/>
    </row>
    <row r="20" spans="1:9" ht="26.25" thickBot="1" x14ac:dyDescent="0.3">
      <c r="A20" s="140" t="s">
        <v>688</v>
      </c>
      <c r="B20" s="112" t="s">
        <v>1895</v>
      </c>
      <c r="C20" s="121" t="s">
        <v>593</v>
      </c>
      <c r="D20" s="112">
        <v>3</v>
      </c>
      <c r="E20" s="112" t="s">
        <v>1915</v>
      </c>
      <c r="F20" s="113" t="s">
        <v>2038</v>
      </c>
      <c r="G20" s="112" t="s">
        <v>1950</v>
      </c>
      <c r="H20" s="112"/>
      <c r="I20" s="113"/>
    </row>
    <row r="21" spans="1:9" ht="26.25" thickBot="1" x14ac:dyDescent="0.3">
      <c r="A21" s="111" t="s">
        <v>3010</v>
      </c>
      <c r="B21" s="112" t="s">
        <v>1895</v>
      </c>
      <c r="C21" s="121" t="s">
        <v>593</v>
      </c>
      <c r="D21" s="112">
        <v>3</v>
      </c>
      <c r="E21" s="112"/>
      <c r="F21" s="113"/>
      <c r="G21" s="112" t="s">
        <v>1950</v>
      </c>
      <c r="H21" s="112"/>
      <c r="I21" s="113"/>
    </row>
    <row r="22" spans="1:9" ht="26.25" thickBot="1" x14ac:dyDescent="0.3">
      <c r="A22" s="111" t="s">
        <v>3011</v>
      </c>
      <c r="B22" s="109" t="s">
        <v>1895</v>
      </c>
      <c r="C22" s="121" t="s">
        <v>593</v>
      </c>
      <c r="D22" s="109">
        <v>3</v>
      </c>
      <c r="E22" s="109"/>
      <c r="F22" s="114"/>
      <c r="G22" s="109" t="s">
        <v>1950</v>
      </c>
      <c r="H22" s="109"/>
      <c r="I22" s="109"/>
    </row>
    <row r="23" spans="1:9" ht="27" thickBot="1" x14ac:dyDescent="0.3">
      <c r="A23" s="140" t="s">
        <v>3161</v>
      </c>
      <c r="B23" s="116" t="s">
        <v>1895</v>
      </c>
      <c r="C23" s="124" t="s">
        <v>402</v>
      </c>
      <c r="D23" s="112">
        <v>4</v>
      </c>
      <c r="E23" s="116" t="s">
        <v>1915</v>
      </c>
      <c r="F23" s="118" t="s">
        <v>2030</v>
      </c>
      <c r="G23" s="116" t="s">
        <v>1950</v>
      </c>
      <c r="H23" s="116"/>
      <c r="I23" s="113"/>
    </row>
    <row r="24" spans="1:9" ht="27" thickBot="1" x14ac:dyDescent="0.3">
      <c r="A24" s="140" t="s">
        <v>3162</v>
      </c>
      <c r="B24" s="119" t="s">
        <v>1895</v>
      </c>
      <c r="C24" s="124" t="s">
        <v>402</v>
      </c>
      <c r="D24" s="109">
        <v>4</v>
      </c>
      <c r="E24" s="119" t="s">
        <v>1915</v>
      </c>
      <c r="F24" s="120" t="s">
        <v>2033</v>
      </c>
      <c r="G24" s="119" t="s">
        <v>2589</v>
      </c>
      <c r="H24" s="119" t="s">
        <v>58</v>
      </c>
      <c r="I24" s="109"/>
    </row>
    <row r="25" spans="1:9" ht="27" thickBot="1" x14ac:dyDescent="0.3">
      <c r="A25" s="140" t="s">
        <v>3168</v>
      </c>
      <c r="B25" s="119" t="s">
        <v>1895</v>
      </c>
      <c r="C25" s="124" t="s">
        <v>402</v>
      </c>
      <c r="D25" s="119">
        <v>4</v>
      </c>
      <c r="E25" s="119" t="s">
        <v>1915</v>
      </c>
      <c r="F25" s="120"/>
      <c r="G25" s="119" t="s">
        <v>1950</v>
      </c>
      <c r="H25" s="119"/>
      <c r="I25" s="109"/>
    </row>
    <row r="26" spans="1:9" ht="27" thickBot="1" x14ac:dyDescent="0.3">
      <c r="A26" s="140" t="s">
        <v>3169</v>
      </c>
      <c r="B26" s="116" t="s">
        <v>1895</v>
      </c>
      <c r="C26" s="124" t="s">
        <v>402</v>
      </c>
      <c r="D26" s="112">
        <v>4</v>
      </c>
      <c r="E26" s="116" t="s">
        <v>1915</v>
      </c>
      <c r="F26" s="116" t="s">
        <v>2046</v>
      </c>
      <c r="G26" s="116" t="s">
        <v>1950</v>
      </c>
      <c r="H26" s="116"/>
      <c r="I26" s="113"/>
    </row>
    <row r="27" spans="1:9" ht="26.25" thickBot="1" x14ac:dyDescent="0.3">
      <c r="A27" s="140" t="s">
        <v>3243</v>
      </c>
      <c r="B27" s="109" t="s">
        <v>1895</v>
      </c>
      <c r="C27" s="123" t="s">
        <v>402</v>
      </c>
      <c r="D27" s="109">
        <v>4</v>
      </c>
      <c r="E27" s="109" t="s">
        <v>1915</v>
      </c>
      <c r="F27" s="114"/>
      <c r="G27" s="109" t="s">
        <v>1950</v>
      </c>
      <c r="H27" s="109"/>
      <c r="I27" s="109"/>
    </row>
    <row r="28" spans="1:9" ht="26.25" thickBot="1" x14ac:dyDescent="0.3">
      <c r="A28" s="140" t="s">
        <v>512</v>
      </c>
      <c r="B28" s="109" t="s">
        <v>1895</v>
      </c>
      <c r="C28" s="123" t="s">
        <v>402</v>
      </c>
      <c r="D28" s="109">
        <v>4</v>
      </c>
      <c r="E28" s="109" t="s">
        <v>1915</v>
      </c>
      <c r="F28" s="113" t="s">
        <v>2035</v>
      </c>
      <c r="G28" s="109" t="s">
        <v>1950</v>
      </c>
    </row>
    <row r="36" spans="14:14" x14ac:dyDescent="0.25">
      <c r="N36">
        <v>17</v>
      </c>
    </row>
    <row r="37" spans="14:14" x14ac:dyDescent="0.25">
      <c r="N37">
        <v>19</v>
      </c>
    </row>
    <row r="38" spans="14:14" x14ac:dyDescent="0.25">
      <c r="N38">
        <v>20</v>
      </c>
    </row>
    <row r="39" spans="14:14" x14ac:dyDescent="0.25">
      <c r="N39">
        <v>18</v>
      </c>
    </row>
    <row r="41" spans="14:14" x14ac:dyDescent="0.25">
      <c r="N41">
        <f>AVERAGE(N36:N39)</f>
        <v>18.5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Classes</vt:lpstr>
      <vt:lpstr>Class_List</vt:lpstr>
      <vt:lpstr>Races</vt:lpstr>
      <vt:lpstr>Items_By_Rarity</vt:lpstr>
      <vt:lpstr>Consumable Items</vt:lpstr>
      <vt:lpstr>B2WC</vt:lpstr>
      <vt:lpstr>Dashboard</vt:lpstr>
      <vt:lpstr>Items by Tables</vt:lpstr>
      <vt:lpstr>Unlocks</vt:lpstr>
      <vt:lpstr>Item List</vt:lpstr>
      <vt:lpstr>Need List</vt:lpstr>
      <vt:lpstr>ALLITEMS</vt:lpstr>
      <vt:lpstr>COMMON</vt:lpstr>
      <vt:lpstr>LEGENDARY</vt:lpstr>
      <vt:lpstr>RARE</vt:lpstr>
      <vt:lpstr>TRADEABLE</vt:lpstr>
      <vt:lpstr>UNCOMMON</vt:lpstr>
      <vt:lpstr>UNIQUE</vt:lpstr>
      <vt:lpstr>UNTRADEABLE</vt:lpstr>
      <vt:lpstr>Items_By_Rarity!VERYRARE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froberg</dc:creator>
  <cp:keywords/>
  <dc:description/>
  <cp:lastModifiedBy>Robert Froberg</cp:lastModifiedBy>
  <cp:revision/>
  <dcterms:created xsi:type="dcterms:W3CDTF">2018-04-22T02:41:51Z</dcterms:created>
  <dcterms:modified xsi:type="dcterms:W3CDTF">2025-11-14T04:28:04Z</dcterms:modified>
  <cp:category/>
  <cp:contentStatus/>
</cp:coreProperties>
</file>